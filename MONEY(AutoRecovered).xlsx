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ocuments\"/>
    </mc:Choice>
  </mc:AlternateContent>
  <xr:revisionPtr revIDLastSave="0" documentId="8_{DC6F12B8-D0B5-46A1-BD7F-25A508F978AE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thing " sheetId="2" r:id="rId1"/>
    <sheet name="AUG" sheetId="1" r:id="rId2"/>
    <sheet name="SEP" sheetId="3" r:id="rId3"/>
    <sheet name="OCT" sheetId="4" r:id="rId4"/>
    <sheet name="NOV" sheetId="5" r:id="rId5"/>
    <sheet name="DEC" sheetId="6" r:id="rId6"/>
    <sheet name="Sheet1" sheetId="7" r:id="rId7"/>
  </sheets>
  <definedNames>
    <definedName name="A">AUG!$ALM$31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1" i="4" l="1"/>
  <c r="R36" i="4"/>
  <c r="O36" i="4"/>
  <c r="T20" i="4"/>
  <c r="N36" i="4"/>
  <c r="T7" i="4"/>
  <c r="P36" i="4"/>
  <c r="T5" i="4"/>
  <c r="T6" i="4"/>
  <c r="T8" i="4"/>
  <c r="T9" i="4"/>
  <c r="T10" i="4"/>
  <c r="T11" i="4"/>
  <c r="T12" i="4"/>
  <c r="T13" i="4"/>
  <c r="T14" i="4"/>
  <c r="T15" i="4"/>
  <c r="T16" i="4"/>
  <c r="T17" i="4"/>
  <c r="T18" i="4"/>
  <c r="T19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U7" i="4"/>
  <c r="S36" i="6"/>
  <c r="R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T36" i="6" s="1"/>
  <c r="U35" i="6"/>
  <c r="T35" i="6"/>
  <c r="U34" i="6"/>
  <c r="T34" i="6"/>
  <c r="U33" i="6"/>
  <c r="T33" i="6"/>
  <c r="U32" i="6"/>
  <c r="T32" i="6"/>
  <c r="U31" i="6"/>
  <c r="T31" i="6"/>
  <c r="U30" i="6"/>
  <c r="T30" i="6"/>
  <c r="U29" i="6"/>
  <c r="T29" i="6"/>
  <c r="U28" i="6"/>
  <c r="T28" i="6"/>
  <c r="U27" i="6"/>
  <c r="T27" i="6"/>
  <c r="U26" i="6"/>
  <c r="T26" i="6"/>
  <c r="U25" i="6"/>
  <c r="T25" i="6"/>
  <c r="U24" i="6"/>
  <c r="T24" i="6"/>
  <c r="U23" i="6"/>
  <c r="T23" i="6"/>
  <c r="U22" i="6"/>
  <c r="T22" i="6"/>
  <c r="U21" i="6"/>
  <c r="T21" i="6"/>
  <c r="U20" i="6"/>
  <c r="T20" i="6"/>
  <c r="U19" i="6"/>
  <c r="T19" i="6"/>
  <c r="U18" i="6"/>
  <c r="T18" i="6"/>
  <c r="U17" i="6"/>
  <c r="T17" i="6"/>
  <c r="U16" i="6"/>
  <c r="T16" i="6"/>
  <c r="U15" i="6"/>
  <c r="T15" i="6"/>
  <c r="U14" i="6"/>
  <c r="T14" i="6"/>
  <c r="U13" i="6"/>
  <c r="T13" i="6"/>
  <c r="U12" i="6"/>
  <c r="T12" i="6"/>
  <c r="U11" i="6"/>
  <c r="T11" i="6"/>
  <c r="U10" i="6"/>
  <c r="T10" i="6"/>
  <c r="U9" i="6"/>
  <c r="T9" i="6"/>
  <c r="U8" i="6"/>
  <c r="T8" i="6"/>
  <c r="U7" i="6"/>
  <c r="T7" i="6"/>
  <c r="U6" i="6"/>
  <c r="T6" i="6"/>
  <c r="U5" i="6"/>
  <c r="U36" i="6" s="1"/>
  <c r="T5" i="6"/>
  <c r="V5" i="6" s="1"/>
  <c r="V6" i="6" s="1"/>
  <c r="V7" i="6" s="1"/>
  <c r="V8" i="6" s="1"/>
  <c r="V9" i="6" s="1"/>
  <c r="V10" i="6" s="1"/>
  <c r="V11" i="6" s="1"/>
  <c r="V12" i="6" s="1"/>
  <c r="V13" i="6" s="1"/>
  <c r="V14" i="6" s="1"/>
  <c r="V15" i="6" s="1"/>
  <c r="V16" i="6" s="1"/>
  <c r="V17" i="6" s="1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V30" i="6" s="1"/>
  <c r="V31" i="6" s="1"/>
  <c r="V32" i="6" s="1"/>
  <c r="V33" i="6" s="1"/>
  <c r="V34" i="6" s="1"/>
  <c r="V35" i="6" s="1"/>
  <c r="W35" i="6" s="1"/>
  <c r="S36" i="4"/>
  <c r="M36" i="4"/>
  <c r="L36" i="4"/>
  <c r="K36" i="4"/>
  <c r="J36" i="4"/>
  <c r="I36" i="4"/>
  <c r="H36" i="4"/>
  <c r="G36" i="4"/>
  <c r="F36" i="4"/>
  <c r="E36" i="4"/>
  <c r="D36" i="4"/>
  <c r="C36" i="4"/>
  <c r="B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6" i="4"/>
  <c r="U5" i="4"/>
  <c r="V7" i="5"/>
  <c r="V8" i="5"/>
  <c r="V9" i="5"/>
  <c r="V10" i="5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6" i="5"/>
  <c r="V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5" i="5"/>
  <c r="S36" i="5"/>
  <c r="R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T36" i="5" s="1"/>
  <c r="H135" i="3"/>
  <c r="G135" i="3"/>
  <c r="F135" i="3"/>
  <c r="E135" i="3"/>
  <c r="D135" i="3"/>
  <c r="C135" i="3"/>
  <c r="S129" i="3"/>
  <c r="C10" i="2"/>
  <c r="F7" i="2"/>
  <c r="I5" i="2"/>
  <c r="J3" i="2"/>
  <c r="G28" i="1"/>
  <c r="G27" i="1"/>
  <c r="G26" i="1"/>
  <c r="G33" i="1" s="1"/>
  <c r="H8" i="1"/>
  <c r="G5" i="1"/>
  <c r="T36" i="4" l="1"/>
  <c r="U36" i="4"/>
  <c r="V5" i="4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W35" i="4" s="1"/>
  <c r="U36" i="5"/>
  <c r="W35" i="5"/>
</calcChain>
</file>

<file path=xl/sharedStrings.xml><?xml version="1.0" encoding="utf-8"?>
<sst xmlns="http://schemas.openxmlformats.org/spreadsheetml/2006/main" count="490" uniqueCount="155">
  <si>
    <t>August</t>
  </si>
  <si>
    <t>DATE/DAY</t>
  </si>
  <si>
    <t>ITEM/FOOD</t>
  </si>
  <si>
    <t>PRICE</t>
  </si>
  <si>
    <t>PATMENT</t>
  </si>
  <si>
    <t>DATE</t>
  </si>
  <si>
    <t>P/DAY</t>
  </si>
  <si>
    <t>M.FOOD</t>
  </si>
  <si>
    <t>G</t>
  </si>
  <si>
    <t>LUNCH</t>
  </si>
  <si>
    <t>MILK</t>
  </si>
  <si>
    <t>N.FOOD</t>
  </si>
  <si>
    <t>SNACKS</t>
  </si>
  <si>
    <t>OIL</t>
  </si>
  <si>
    <t>IDLY PODI</t>
  </si>
  <si>
    <t>THIS MONTH</t>
  </si>
  <si>
    <t>MONTHLY CASH</t>
  </si>
  <si>
    <t xml:space="preserve">N.FOOD </t>
  </si>
  <si>
    <t>CAN</t>
  </si>
  <si>
    <t>BLECH POWDER</t>
  </si>
  <si>
    <t>SCRUB</t>
  </si>
  <si>
    <t>C</t>
  </si>
  <si>
    <t>can</t>
  </si>
  <si>
    <t>salt</t>
  </si>
  <si>
    <t>milk</t>
  </si>
  <si>
    <t>n.food</t>
  </si>
  <si>
    <t>coffee powder</t>
  </si>
  <si>
    <t>sep</t>
  </si>
  <si>
    <t>lunch</t>
  </si>
  <si>
    <t>regulator</t>
  </si>
  <si>
    <t>paid</t>
  </si>
  <si>
    <t>sugar</t>
  </si>
  <si>
    <t xml:space="preserve">m.food </t>
  </si>
  <si>
    <t>snacks</t>
  </si>
  <si>
    <t>m.food</t>
  </si>
  <si>
    <t>ICE CREAM</t>
  </si>
  <si>
    <t>ITEM</t>
  </si>
  <si>
    <t>Column1</t>
  </si>
  <si>
    <t>SALARY</t>
  </si>
  <si>
    <t>MONEY</t>
  </si>
  <si>
    <t>ACCOUNT</t>
  </si>
  <si>
    <t>CUR . BALANCE</t>
  </si>
  <si>
    <t>DETAIL</t>
  </si>
  <si>
    <t>AMOUNT</t>
  </si>
  <si>
    <t>STOOL</t>
  </si>
  <si>
    <t>IN HAND</t>
  </si>
  <si>
    <t>SEM FEE</t>
  </si>
  <si>
    <t xml:space="preserve">TABLE </t>
  </si>
  <si>
    <t xml:space="preserve">THIS MONTH </t>
  </si>
  <si>
    <t>SBI</t>
  </si>
  <si>
    <t>CHAIR</t>
  </si>
  <si>
    <t xml:space="preserve">APPA </t>
  </si>
  <si>
    <t>UNION</t>
  </si>
  <si>
    <t>WIFI</t>
  </si>
  <si>
    <t>DELIVERY</t>
  </si>
  <si>
    <t>TOTAL</t>
  </si>
  <si>
    <t>MIRROR</t>
  </si>
  <si>
    <t>GAVE</t>
  </si>
  <si>
    <t>CERDITED</t>
  </si>
  <si>
    <t>UPDATED</t>
  </si>
  <si>
    <t>BALANCE CLOSED</t>
  </si>
  <si>
    <t>TIME</t>
  </si>
  <si>
    <t>WORK TO BE DONE</t>
  </si>
  <si>
    <t>EXERCISE</t>
  </si>
  <si>
    <t>4-4.15 PM</t>
  </si>
  <si>
    <t>TEA</t>
  </si>
  <si>
    <t>4.15-6 PM</t>
  </si>
  <si>
    <t xml:space="preserve">STUDY/WRITING </t>
  </si>
  <si>
    <t>6 - 7.15 PM</t>
  </si>
  <si>
    <t>UDMEY</t>
  </si>
  <si>
    <t>7.15 -8 PM</t>
  </si>
  <si>
    <t>DINNER</t>
  </si>
  <si>
    <t>8 - 9 PM</t>
  </si>
  <si>
    <t>9 -10 PM</t>
  </si>
  <si>
    <t>GAME/BATMINTION</t>
  </si>
  <si>
    <t xml:space="preserve">                               September-2024</t>
  </si>
  <si>
    <t>FOOD</t>
  </si>
  <si>
    <t>MAAVU/FOOD</t>
  </si>
  <si>
    <t>GROCERY/SNACKS</t>
  </si>
  <si>
    <t>JK</t>
  </si>
  <si>
    <t>LOKI</t>
  </si>
  <si>
    <t>G/C</t>
  </si>
  <si>
    <t>F6:F152</t>
  </si>
  <si>
    <t>jk</t>
  </si>
  <si>
    <t>movie</t>
  </si>
  <si>
    <t>n.food/pesi</t>
  </si>
  <si>
    <t>G+C</t>
  </si>
  <si>
    <t>bus/auto</t>
  </si>
  <si>
    <t>SUGAR</t>
  </si>
  <si>
    <t>anil,oinion,tomato,VATHAL,KADUKU</t>
  </si>
  <si>
    <t>NFOOD</t>
  </si>
  <si>
    <t>g</t>
  </si>
  <si>
    <t>egg</t>
  </si>
  <si>
    <t>bus fare=182</t>
  </si>
  <si>
    <t>hair cut=120</t>
  </si>
  <si>
    <t>home</t>
  </si>
  <si>
    <t>bus fare=374</t>
  </si>
  <si>
    <t xml:space="preserve">can </t>
  </si>
  <si>
    <t>mik</t>
  </si>
  <si>
    <t>tap=700</t>
  </si>
  <si>
    <t xml:space="preserve">good knight </t>
  </si>
  <si>
    <t>pen</t>
  </si>
  <si>
    <t>can,rava</t>
  </si>
  <si>
    <t>samosa</t>
  </si>
  <si>
    <t>stationary</t>
  </si>
  <si>
    <t>tuflon tape</t>
  </si>
  <si>
    <t>tea,onion</t>
  </si>
  <si>
    <t>maggie</t>
  </si>
  <si>
    <t>loki</t>
  </si>
  <si>
    <t>sambar powder,kadal powder</t>
  </si>
  <si>
    <t>maavu</t>
  </si>
  <si>
    <t>grocerey</t>
  </si>
  <si>
    <t>MAVVU</t>
  </si>
  <si>
    <t>GECORY</t>
  </si>
  <si>
    <t>BOTH</t>
  </si>
  <si>
    <r>
      <rPr>
        <b/>
        <sz val="16"/>
        <color rgb="FF000000"/>
        <rFont val="Arial Rounded MT Bold"/>
        <family val="2"/>
      </rPr>
      <t>PRICE</t>
    </r>
    <r>
      <rPr>
        <b/>
        <sz val="16"/>
        <color rgb="FF000000"/>
        <rFont val="Bauhaus 93"/>
        <family val="5"/>
      </rPr>
      <t xml:space="preserve">     </t>
    </r>
    <r>
      <rPr>
        <b/>
        <sz val="11"/>
        <color rgb="FF000000"/>
        <rFont val="Calibri"/>
        <family val="2"/>
        <charset val="1"/>
      </rPr>
      <t xml:space="preserve">                                                                                                                                        </t>
    </r>
  </si>
  <si>
    <t>MAAVU</t>
  </si>
  <si>
    <t>SIDISH</t>
  </si>
  <si>
    <t>HOTEL</t>
  </si>
  <si>
    <t>BUS</t>
  </si>
  <si>
    <t>TOTAL JK</t>
  </si>
  <si>
    <t>TOTAL DD</t>
  </si>
  <si>
    <t>CUM TOTAL</t>
  </si>
  <si>
    <t>DD</t>
  </si>
  <si>
    <t>MILK(JK)</t>
  </si>
  <si>
    <t>SNACKS/FRUITS</t>
  </si>
  <si>
    <t>SEP</t>
  </si>
  <si>
    <t>GERSORY</t>
  </si>
  <si>
    <t>T GERSORY</t>
  </si>
  <si>
    <t>NOVEMBER</t>
  </si>
  <si>
    <t>GERSORY/PEN</t>
  </si>
  <si>
    <t>SNACKS/FRUITS/med</t>
  </si>
  <si>
    <t>446(m)</t>
  </si>
  <si>
    <t>84+62+75</t>
  </si>
  <si>
    <t xml:space="preserve"> 65+116+75</t>
  </si>
  <si>
    <t>jk to dd</t>
  </si>
  <si>
    <t xml:space="preserve">dd to jk 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</si>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</sst>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"/>
    <numFmt numFmtId="165" formatCode="m/d/yyyy"/>
    <numFmt numFmtId="166" formatCode="dd/mm/yy"/>
  </numFmts>
  <fonts count="16" x14ac:knownFonts="1">
    <font>
      <sz val="11"/>
      <color rgb="FF000000"/>
      <name val="Calibri"/>
      <family val="2"/>
      <charset val="1"/>
    </font>
    <font>
      <sz val="22"/>
      <color rgb="FF000000"/>
      <name val="Arial Rounded MT Bold"/>
      <family val="2"/>
      <charset val="1"/>
    </font>
    <font>
      <b/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/>
      <sz val="36"/>
      <color rgb="FFFA7D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6"/>
      <color rgb="FF000000"/>
      <name val="Arial Rounded MT Bold"/>
      <family val="2"/>
    </font>
    <font>
      <b/>
      <sz val="16"/>
      <color rgb="FF000000"/>
      <name val="Bauhaus 93"/>
      <family val="5"/>
    </font>
    <font>
      <sz val="10"/>
      <color rgb="FF000000"/>
      <name val="Calibri"/>
      <family val="2"/>
      <charset val="1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28"/>
      <color rgb="FF002060"/>
      <name val="Calibri"/>
      <family val="2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DEEBF7"/>
      </patternFill>
    </fill>
    <fill>
      <patternFill patternType="solid">
        <fgColor rgb="FF5B9BD5"/>
        <bgColor rgb="FF969696"/>
      </patternFill>
    </fill>
    <fill>
      <patternFill patternType="solid">
        <fgColor rgb="FFDEEBF7"/>
        <bgColor rgb="FFF2F2F2"/>
      </patternFill>
    </fill>
  </fills>
  <borders count="2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/>
      <top/>
      <bottom style="thin">
        <color rgb="FF9DC3E6"/>
      </bottom>
      <diagonal/>
    </border>
    <border>
      <left/>
      <right/>
      <top/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/>
      <diagonal/>
    </border>
    <border>
      <left style="thin">
        <color rgb="FF9DC3E6"/>
      </left>
      <right/>
      <top style="thin">
        <color rgb="FF9DC3E6"/>
      </top>
      <bottom/>
      <diagonal/>
    </border>
    <border>
      <left/>
      <right/>
      <top style="thin">
        <color rgb="FF9DC3E6"/>
      </top>
      <bottom/>
      <diagonal/>
    </border>
    <border>
      <left/>
      <right style="thin">
        <color rgb="FF9DC3E6"/>
      </right>
      <top style="thin">
        <color auto="1"/>
      </top>
      <bottom style="thin">
        <color rgb="FF9DC3E6"/>
      </bottom>
      <diagonal/>
    </border>
    <border>
      <left style="thin">
        <color rgb="FF9DC3E6"/>
      </left>
      <right/>
      <top style="thin">
        <color auto="1"/>
      </top>
      <bottom style="thin">
        <color rgb="FF9DC3E6"/>
      </bottom>
      <diagonal/>
    </border>
    <border>
      <left/>
      <right/>
      <top style="thin">
        <color auto="1"/>
      </top>
      <bottom style="thin">
        <color rgb="FF9DC3E6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auto="1"/>
      </bottom>
      <diagonal/>
    </border>
    <border>
      <left style="thin">
        <color rgb="FF9DC3E6"/>
      </left>
      <right style="thin">
        <color rgb="FF9DC3E6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2" borderId="1" applyProtection="0"/>
  </cellStyleXfs>
  <cellXfs count="72">
    <xf numFmtId="0" fontId="0" fillId="0" borderId="0" xfId="0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4" borderId="5" xfId="0" applyNumberFormat="1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 applyAlignment="1">
      <alignment horizontal="right"/>
    </xf>
    <xf numFmtId="0" fontId="0" fillId="4" borderId="5" xfId="0" applyFill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right"/>
    </xf>
    <xf numFmtId="165" fontId="0" fillId="0" borderId="0" xfId="0" applyNumberFormat="1"/>
    <xf numFmtId="165" fontId="0" fillId="4" borderId="8" xfId="0" applyNumberFormat="1" applyFill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right"/>
    </xf>
    <xf numFmtId="165" fontId="0" fillId="4" borderId="11" xfId="0" applyNumberFormat="1" applyFill="1" applyBorder="1" applyAlignment="1">
      <alignment horizontal="center"/>
    </xf>
    <xf numFmtId="0" fontId="0" fillId="4" borderId="12" xfId="0" applyFill="1" applyBorder="1"/>
    <xf numFmtId="0" fontId="0" fillId="4" borderId="13" xfId="0" applyFill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6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  <xf numFmtId="0" fontId="0" fillId="0" borderId="7" xfId="0" applyBorder="1"/>
    <xf numFmtId="165" fontId="0" fillId="4" borderId="8" xfId="0" applyNumberFormat="1" applyFill="1" applyBorder="1"/>
    <xf numFmtId="0" fontId="0" fillId="0" borderId="10" xfId="0" applyBorder="1"/>
    <xf numFmtId="165" fontId="3" fillId="0" borderId="0" xfId="0" applyNumberFormat="1" applyFont="1"/>
    <xf numFmtId="0" fontId="3" fillId="0" borderId="0" xfId="0" applyFont="1" applyAlignment="1">
      <alignment horizontal="center"/>
    </xf>
    <xf numFmtId="166" fontId="3" fillId="0" borderId="0" xfId="0" applyNumberFormat="1" applyFont="1"/>
    <xf numFmtId="166" fontId="0" fillId="0" borderId="0" xfId="0" applyNumberFormat="1"/>
    <xf numFmtId="165" fontId="0" fillId="4" borderId="5" xfId="0" applyNumberFormat="1" applyFill="1" applyBorder="1"/>
    <xf numFmtId="18" fontId="0" fillId="0" borderId="0" xfId="0" applyNumberFormat="1"/>
    <xf numFmtId="0" fontId="0" fillId="0" borderId="16" xfId="0" applyBorder="1"/>
    <xf numFmtId="165" fontId="0" fillId="0" borderId="14" xfId="0" applyNumberFormat="1" applyBorder="1"/>
    <xf numFmtId="0" fontId="0" fillId="0" borderId="14" xfId="0" applyBorder="1"/>
    <xf numFmtId="165" fontId="0" fillId="4" borderId="17" xfId="0" applyNumberFormat="1" applyFill="1" applyBorder="1"/>
    <xf numFmtId="165" fontId="0" fillId="4" borderId="18" xfId="0" applyNumberFormat="1" applyFill="1" applyBorder="1"/>
    <xf numFmtId="165" fontId="0" fillId="4" borderId="19" xfId="0" applyNumberFormat="1" applyFill="1" applyBorder="1"/>
    <xf numFmtId="165" fontId="0" fillId="4" borderId="20" xfId="0" applyNumberFormat="1" applyFill="1" applyBorder="1"/>
    <xf numFmtId="0" fontId="0" fillId="0" borderId="21" xfId="0" applyBorder="1"/>
    <xf numFmtId="0" fontId="6" fillId="0" borderId="24" xfId="0" applyFont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0" fillId="0" borderId="24" xfId="0" applyNumberFormat="1" applyFont="1" applyBorder="1" applyAlignment="1">
      <alignment horizontal="center" vertical="center"/>
    </xf>
    <xf numFmtId="0" fontId="0" fillId="0" borderId="26" xfId="0" applyBorder="1"/>
    <xf numFmtId="1" fontId="11" fillId="0" borderId="27" xfId="0" applyNumberFormat="1" applyFont="1" applyBorder="1" applyAlignment="1">
      <alignment horizontal="center" vertical="center"/>
    </xf>
    <xf numFmtId="1" fontId="11" fillId="0" borderId="24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13" fillId="0" borderId="24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4" fillId="2" borderId="15" xfId="1" applyFont="1" applyBorder="1" applyProtection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" fontId="6" fillId="0" borderId="22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" fontId="14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Excel Built-in Calculation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5B9BD5"/>
      <rgbColor rgb="FF993366"/>
      <rgbColor rgb="FFF2F2F2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A1:C11" totalsRowShown="0">
  <autoFilter ref="A1:C11" xr:uid="{00000000-0009-0000-0100-000001000000}"/>
  <tableColumns count="3">
    <tableColumn id="1" xr3:uid="{00000000-0010-0000-0300-000001000000}" name="ITEM"/>
    <tableColumn id="2" xr3:uid="{00000000-0010-0000-0300-000002000000}" name="PRICE"/>
    <tableColumn id="3" xr3:uid="{00000000-0010-0000-0300-000003000000}" name="Column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le10" displayName="Table10" ref="L1:N15" totalsRowShown="0">
  <autoFilter ref="L1:N15" xr:uid="{00000000-0009-0000-0100-000002000000}"/>
  <tableColumns count="3">
    <tableColumn id="1" xr3:uid="{00000000-0010-0000-0400-000001000000}" name="DATE"/>
    <tableColumn id="2" xr3:uid="{00000000-0010-0000-0400-000002000000}" name="DETAIL"/>
    <tableColumn id="3" xr3:uid="{00000000-0010-0000-0400-000003000000}" name="AM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11" displayName="Table11" ref="H1:I9" totalsRowShown="0">
  <autoFilter ref="H1:I9" xr:uid="{00000000-0009-0000-0100-000003000000}"/>
  <tableColumns count="2">
    <tableColumn id="1" xr3:uid="{00000000-0010-0000-0500-000001000000}" name="ACCOUNT"/>
    <tableColumn id="2" xr3:uid="{00000000-0010-0000-0500-000002000000}" name="CUR . BALANC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e2" displayName="Table2" ref="E1:F8" totalsRowShown="0">
  <autoFilter ref="E1:F8" xr:uid="{00000000-0009-0000-0100-000004000000}"/>
  <tableColumns count="2">
    <tableColumn id="1" xr3:uid="{00000000-0010-0000-0600-000001000000}" name="SALARY"/>
    <tableColumn id="2" xr3:uid="{00000000-0010-0000-0600-000002000000}" name="MONEY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9" displayName="Table9" ref="H16:I23" totalsRowShown="0">
  <autoFilter ref="H16:I23" xr:uid="{00000000-0009-0000-0100-000009000000}"/>
  <tableColumns count="2">
    <tableColumn id="1" xr3:uid="{00000000-0010-0000-0700-000001000000}" name="TIME"/>
    <tableColumn id="2" xr3:uid="{00000000-0010-0000-0700-000002000000}" name="WORK TO BE DON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4" displayName="Table4" ref="F3:G34" totalsRowShown="0">
  <autoFilter ref="F3:G34" xr:uid="{00000000-0009-0000-0100-000005000000}"/>
  <tableColumns count="2">
    <tableColumn id="1" xr3:uid="{00000000-0010-0000-0000-000001000000}" name="DATE"/>
    <tableColumn id="2" xr3:uid="{00000000-0010-0000-0000-000002000000}" name="P/DAY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5" displayName="Table5" ref="D3:D34" totalsRowShown="0">
  <autoFilter ref="D3:D34" xr:uid="{00000000-0009-0000-0100-000006000000}"/>
  <tableColumns count="1">
    <tableColumn id="1" xr3:uid="{00000000-0010-0000-0100-000001000000}" name="PATM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8" displayName="Table8" ref="A3:C36" totalsRowShown="0">
  <autoFilter ref="A3:C36" xr:uid="{00000000-0009-0000-0100-000008000000}"/>
  <tableColumns count="3">
    <tableColumn id="1" xr3:uid="{00000000-0010-0000-0200-000001000000}" name="DATE/DAY"/>
    <tableColumn id="2" xr3:uid="{00000000-0010-0000-0200-000002000000}" name="ITEM/FOOD"/>
    <tableColumn id="3" xr3:uid="{00000000-0010-0000-0200-000003000000}" name="PRIC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7" displayName="Table7" ref="A4:I138" totalsRowCount="1">
  <autoFilter ref="A4:I137" xr:uid="{00000000-0009-0000-0100-000007000000}"/>
  <tableColumns count="9">
    <tableColumn id="1" xr3:uid="{00000000-0010-0000-0800-000001000000}" name="DATE"/>
    <tableColumn id="2" xr3:uid="{00000000-0010-0000-0800-000002000000}" name="FOOD"/>
    <tableColumn id="3" xr3:uid="{00000000-0010-0000-0800-000003000000}" name="MAAVU/FOOD"/>
    <tableColumn id="4" xr3:uid="{00000000-0010-0000-0800-000004000000}" name="MILK"/>
    <tableColumn id="5" xr3:uid="{00000000-0010-0000-0800-000005000000}" name="GROCERY/SNACKS"/>
    <tableColumn id="6" xr3:uid="{00000000-0010-0000-0800-000006000000}" name="JK"/>
    <tableColumn id="7" xr3:uid="{00000000-0010-0000-0800-000007000000}" name="LOKI"/>
    <tableColumn id="8" xr3:uid="{00000000-0010-0000-0800-000008000000}" name="TOTAL"/>
    <tableColumn id="9" xr3:uid="{00000000-0010-0000-0800-000009000000}" name="G/C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A860B1-C6B9-4B4E-AB58-3E950D164644}" name="Table12" displayName="Table12" ref="A4:T62" totalsRowShown="0">
  <autoFilter ref="A4:T62" xr:uid="{A0A860B1-C6B9-4B4E-AB58-3E950D164644}"/>
  <tableColumns count="20">
    <tableColumn id="1" xr3:uid="{8274AB0A-0CED-473D-BFF1-56528CB6456C}" name="DATE"/>
    <tableColumn id="2" xr3:uid="{1D3D03B2-8426-4064-9A79-A79A4CFEBFE0}" name="MILK"/>
    <tableColumn id="3" xr3:uid="{9FDC12A3-54C9-47E5-BB80-904AA8C562CA}" name="Column3"/>
    <tableColumn id="4" xr3:uid="{3B705DF1-EF1E-4350-BAC9-E514B2B84F73}" name="Column4"/>
    <tableColumn id="5" xr3:uid="{2EFC47B6-8E35-4BC1-9794-0AA0394CA831}" name="Column5"/>
    <tableColumn id="6" xr3:uid="{05F92D60-0427-4FAD-AB5A-18691B0A1DC1}" name="Column6"/>
    <tableColumn id="7" xr3:uid="{D196FA03-2791-4E84-9041-682A1A1AB757}" name="Column7"/>
    <tableColumn id="8" xr3:uid="{28193BE0-B100-47F9-8BEB-F795B53DB278}" name="Column8"/>
    <tableColumn id="9" xr3:uid="{B8AA100A-7506-43C8-8F8E-EC5EC86D996B}" name="Column9"/>
    <tableColumn id="10" xr3:uid="{49F1B18F-F0E9-4504-BEAA-93260308AD42}" name="Column10"/>
    <tableColumn id="11" xr3:uid="{B9C74A5F-7BA3-440A-A850-D5459980904B}" name="Column11"/>
    <tableColumn id="12" xr3:uid="{3AACC076-E967-4867-9BD6-6798366E1970}" name="Column12"/>
    <tableColumn id="13" xr3:uid="{6DA04607-F86D-4F1F-A22B-9CFA35DF2721}" name="Column13"/>
    <tableColumn id="14" xr3:uid="{A8437F67-8E49-463E-9EE3-2C2A42F82AA2}" name="Column14"/>
    <tableColumn id="15" xr3:uid="{346F30C2-6943-45EB-BE70-9E449FFA1583}" name="Column15"/>
    <tableColumn id="27" xr3:uid="{006FA058-12E0-4E6D-8F92-BF228270A087}" name="Column16"/>
    <tableColumn id="28" xr3:uid="{533843F2-A9DE-4A6C-99EE-183B8B94A75B}" name="Column17"/>
    <tableColumn id="29" xr3:uid="{9E2F6483-3D04-425B-BE71-BB7A96755EAC}" name="Column18"/>
    <tableColumn id="30" xr3:uid="{302B8D86-50D9-49A3-8845-9EC0E889D7ED}" name="Column19"/>
    <tableColumn id="31" xr3:uid="{F3C9BD6E-1D53-4D0B-8F20-1B4D911EC95D}" name="Column2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tabSelected="1" zoomScaleNormal="100" workbookViewId="0">
      <selection activeCell="J31" sqref="J31"/>
    </sheetView>
  </sheetViews>
  <sheetFormatPr defaultColWidth="8.5703125" defaultRowHeight="15" x14ac:dyDescent="0.25"/>
  <cols>
    <col min="1" max="1" width="16.5703125" customWidth="1"/>
    <col min="2" max="2" width="13.7109375" customWidth="1"/>
    <col min="3" max="3" width="15.85546875" customWidth="1"/>
    <col min="4" max="4" width="11.7109375" customWidth="1"/>
    <col min="5" max="5" width="13.28515625" customWidth="1"/>
    <col min="6" max="7" width="10.7109375" customWidth="1"/>
    <col min="8" max="8" width="12.140625" customWidth="1"/>
    <col min="9" max="9" width="20.5703125" customWidth="1"/>
    <col min="12" max="12" width="21" customWidth="1"/>
    <col min="13" max="13" width="23.28515625" customWidth="1"/>
    <col min="14" max="14" width="20.42578125" customWidth="1"/>
  </cols>
  <sheetData>
    <row r="1" spans="1:14" x14ac:dyDescent="0.25">
      <c r="A1" t="s">
        <v>36</v>
      </c>
      <c r="B1" t="s">
        <v>3</v>
      </c>
      <c r="C1" t="s">
        <v>37</v>
      </c>
      <c r="E1" t="s">
        <v>38</v>
      </c>
      <c r="F1" t="s">
        <v>39</v>
      </c>
      <c r="H1" t="s">
        <v>40</v>
      </c>
      <c r="I1" t="s">
        <v>41</v>
      </c>
      <c r="L1" t="s">
        <v>5</v>
      </c>
      <c r="M1" t="s">
        <v>42</v>
      </c>
      <c r="N1" t="s">
        <v>43</v>
      </c>
    </row>
    <row r="2" spans="1:14" x14ac:dyDescent="0.25">
      <c r="A2" t="s">
        <v>44</v>
      </c>
      <c r="B2">
        <v>110</v>
      </c>
      <c r="H2" t="s">
        <v>45</v>
      </c>
      <c r="I2">
        <v>250</v>
      </c>
      <c r="L2" s="11">
        <v>45553</v>
      </c>
      <c r="M2" t="s">
        <v>46</v>
      </c>
      <c r="N2">
        <v>3250</v>
      </c>
    </row>
    <row r="3" spans="1:14" x14ac:dyDescent="0.25">
      <c r="A3" t="s">
        <v>47</v>
      </c>
      <c r="B3">
        <v>3000</v>
      </c>
      <c r="E3" t="s">
        <v>48</v>
      </c>
      <c r="F3">
        <v>3000</v>
      </c>
      <c r="H3" t="s">
        <v>49</v>
      </c>
      <c r="I3">
        <v>1805.34</v>
      </c>
      <c r="J3">
        <f>SUM(1805.34-132)</f>
        <v>1673.34</v>
      </c>
    </row>
    <row r="4" spans="1:14" x14ac:dyDescent="0.25">
      <c r="A4" t="s">
        <v>50</v>
      </c>
      <c r="B4">
        <v>652</v>
      </c>
      <c r="E4" t="s">
        <v>51</v>
      </c>
      <c r="F4">
        <v>500</v>
      </c>
      <c r="H4" t="s">
        <v>52</v>
      </c>
      <c r="I4">
        <v>1492.57</v>
      </c>
    </row>
    <row r="5" spans="1:14" x14ac:dyDescent="0.25">
      <c r="A5" t="s">
        <v>53</v>
      </c>
      <c r="B5">
        <v>1412</v>
      </c>
      <c r="E5" t="s">
        <v>54</v>
      </c>
      <c r="F5">
        <v>250</v>
      </c>
      <c r="H5" t="s">
        <v>55</v>
      </c>
      <c r="I5">
        <f>SUM(I2:I4)</f>
        <v>3547.91</v>
      </c>
    </row>
    <row r="6" spans="1:14" x14ac:dyDescent="0.25">
      <c r="A6" t="s">
        <v>56</v>
      </c>
      <c r="B6">
        <v>45</v>
      </c>
    </row>
    <row r="7" spans="1:14" x14ac:dyDescent="0.25">
      <c r="E7" t="s">
        <v>55</v>
      </c>
      <c r="F7">
        <f>SUM(F3:F5)</f>
        <v>3750</v>
      </c>
    </row>
    <row r="8" spans="1:14" x14ac:dyDescent="0.25">
      <c r="A8" t="s">
        <v>57</v>
      </c>
      <c r="B8">
        <v>650</v>
      </c>
      <c r="F8" t="s">
        <v>58</v>
      </c>
      <c r="H8" t="s">
        <v>59</v>
      </c>
      <c r="I8" s="29">
        <v>45557</v>
      </c>
    </row>
    <row r="10" spans="1:14" x14ac:dyDescent="0.25">
      <c r="A10" s="30"/>
      <c r="B10" t="s">
        <v>55</v>
      </c>
      <c r="C10">
        <f>SUM(B2:B6)-B8</f>
        <v>4569</v>
      </c>
    </row>
    <row r="11" spans="1:14" x14ac:dyDescent="0.25">
      <c r="C11" t="s">
        <v>60</v>
      </c>
    </row>
    <row r="16" spans="1:14" x14ac:dyDescent="0.25">
      <c r="H16" t="s">
        <v>61</v>
      </c>
      <c r="I16" t="s">
        <v>62</v>
      </c>
    </row>
    <row r="17" spans="1:9" x14ac:dyDescent="0.25">
      <c r="H17" s="31">
        <v>0.16666666666666699</v>
      </c>
      <c r="I17" t="s">
        <v>63</v>
      </c>
    </row>
    <row r="18" spans="1:9" x14ac:dyDescent="0.25">
      <c r="H18" s="31" t="s">
        <v>64</v>
      </c>
      <c r="I18" t="s">
        <v>65</v>
      </c>
    </row>
    <row r="19" spans="1:9" x14ac:dyDescent="0.25">
      <c r="H19" t="s">
        <v>66</v>
      </c>
      <c r="I19" t="s">
        <v>67</v>
      </c>
    </row>
    <row r="20" spans="1:9" x14ac:dyDescent="0.25">
      <c r="A20" s="11"/>
      <c r="H20" s="31" t="s">
        <v>68</v>
      </c>
      <c r="I20" t="s">
        <v>69</v>
      </c>
    </row>
    <row r="21" spans="1:9" x14ac:dyDescent="0.25">
      <c r="H21" t="s">
        <v>70</v>
      </c>
      <c r="I21" t="s">
        <v>71</v>
      </c>
    </row>
    <row r="22" spans="1:9" x14ac:dyDescent="0.25">
      <c r="H22" t="s">
        <v>72</v>
      </c>
      <c r="I22" t="s">
        <v>69</v>
      </c>
    </row>
    <row r="23" spans="1:9" x14ac:dyDescent="0.25">
      <c r="H23" t="s">
        <v>73</v>
      </c>
      <c r="I23" t="s">
        <v>74</v>
      </c>
    </row>
  </sheetData>
  <pageMargins left="0.7" right="0.7" top="0.75" bottom="0.75" header="0.511811023622047" footer="0.511811023622047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zoomScaleNormal="100" workbookViewId="0">
      <selection activeCell="M98" sqref="M98"/>
    </sheetView>
  </sheetViews>
  <sheetFormatPr defaultColWidth="8.5703125" defaultRowHeight="15" x14ac:dyDescent="0.25"/>
  <cols>
    <col min="1" max="1" width="16.7109375" customWidth="1"/>
    <col min="2" max="2" width="17" customWidth="1"/>
    <col min="3" max="4" width="12.28515625" customWidth="1"/>
    <col min="5" max="5" width="7.140625" customWidth="1"/>
    <col min="6" max="6" width="14.5703125" customWidth="1"/>
    <col min="7" max="7" width="13" customWidth="1"/>
  </cols>
  <sheetData>
    <row r="1" spans="1:10" ht="27" x14ac:dyDescent="0.35">
      <c r="A1" s="57" t="s">
        <v>0</v>
      </c>
      <c r="B1" s="57"/>
      <c r="C1" s="57"/>
    </row>
    <row r="3" spans="1:10" x14ac:dyDescent="0.25">
      <c r="A3" s="1" t="s">
        <v>1</v>
      </c>
      <c r="B3" s="2" t="s">
        <v>2</v>
      </c>
      <c r="C3" s="3" t="s">
        <v>3</v>
      </c>
      <c r="D3" s="4" t="s">
        <v>4</v>
      </c>
      <c r="F3" s="4" t="s">
        <v>5</v>
      </c>
      <c r="G3" s="4" t="s">
        <v>6</v>
      </c>
    </row>
    <row r="4" spans="1:10" x14ac:dyDescent="0.25">
      <c r="A4" s="5">
        <v>45508</v>
      </c>
      <c r="B4" s="6" t="s">
        <v>7</v>
      </c>
      <c r="C4" s="7">
        <v>40</v>
      </c>
      <c r="D4" s="4" t="s">
        <v>8</v>
      </c>
      <c r="F4" s="5">
        <v>45508</v>
      </c>
      <c r="G4">
        <v>170</v>
      </c>
    </row>
    <row r="5" spans="1:10" x14ac:dyDescent="0.25">
      <c r="A5" s="8"/>
      <c r="B5" s="9" t="s">
        <v>9</v>
      </c>
      <c r="C5" s="10">
        <v>40</v>
      </c>
      <c r="D5" s="4" t="s">
        <v>8</v>
      </c>
      <c r="F5" s="11">
        <v>45509</v>
      </c>
      <c r="G5">
        <f>SUM(C10:C12)</f>
        <v>54.5</v>
      </c>
    </row>
    <row r="6" spans="1:10" x14ac:dyDescent="0.25">
      <c r="A6" s="8"/>
      <c r="B6" s="6" t="s">
        <v>10</v>
      </c>
      <c r="C6" s="7">
        <v>10</v>
      </c>
      <c r="D6" s="4" t="s">
        <v>8</v>
      </c>
      <c r="F6" s="11">
        <v>45510</v>
      </c>
      <c r="G6">
        <v>55</v>
      </c>
    </row>
    <row r="7" spans="1:10" x14ac:dyDescent="0.25">
      <c r="A7" s="8"/>
      <c r="B7" s="9" t="s">
        <v>11</v>
      </c>
      <c r="C7" s="10">
        <v>40</v>
      </c>
      <c r="D7" s="4" t="s">
        <v>8</v>
      </c>
      <c r="F7" s="11">
        <v>45511</v>
      </c>
      <c r="G7">
        <v>17</v>
      </c>
    </row>
    <row r="8" spans="1:10" x14ac:dyDescent="0.25">
      <c r="A8" s="8"/>
      <c r="B8" s="6" t="s">
        <v>12</v>
      </c>
      <c r="C8" s="7">
        <v>40</v>
      </c>
      <c r="D8" s="4" t="s">
        <v>8</v>
      </c>
      <c r="F8" s="11">
        <v>45512</v>
      </c>
      <c r="G8">
        <v>20</v>
      </c>
      <c r="H8">
        <f>SUBTOTAL(9,G4:G12)</f>
        <v>773.5</v>
      </c>
    </row>
    <row r="9" spans="1:10" x14ac:dyDescent="0.25">
      <c r="A9" s="12"/>
      <c r="B9" s="13"/>
      <c r="C9" s="14"/>
      <c r="D9" s="4"/>
      <c r="F9" s="11">
        <v>45513</v>
      </c>
      <c r="G9">
        <v>75</v>
      </c>
    </row>
    <row r="10" spans="1:10" x14ac:dyDescent="0.25">
      <c r="A10" s="15">
        <v>45509</v>
      </c>
      <c r="B10" s="16" t="s">
        <v>11</v>
      </c>
      <c r="C10" s="17">
        <v>25</v>
      </c>
      <c r="D10" s="18" t="s">
        <v>8</v>
      </c>
      <c r="F10" s="11">
        <v>45514</v>
      </c>
      <c r="G10">
        <v>144</v>
      </c>
    </row>
    <row r="11" spans="1:10" x14ac:dyDescent="0.25">
      <c r="A11" s="5"/>
      <c r="B11" s="9" t="s">
        <v>13</v>
      </c>
      <c r="C11" s="10">
        <v>22</v>
      </c>
      <c r="D11" s="4" t="s">
        <v>8</v>
      </c>
      <c r="F11" s="11">
        <v>45515</v>
      </c>
      <c r="G11">
        <v>128</v>
      </c>
    </row>
    <row r="12" spans="1:10" x14ac:dyDescent="0.25">
      <c r="A12" s="5"/>
      <c r="B12" s="6" t="s">
        <v>14</v>
      </c>
      <c r="C12" s="7">
        <v>7.5</v>
      </c>
      <c r="D12" s="4" t="s">
        <v>8</v>
      </c>
      <c r="F12" s="11">
        <v>45516</v>
      </c>
      <c r="G12">
        <v>110</v>
      </c>
    </row>
    <row r="13" spans="1:10" x14ac:dyDescent="0.25">
      <c r="A13" s="12"/>
      <c r="B13" s="9"/>
      <c r="C13" s="10"/>
      <c r="D13" s="4"/>
      <c r="F13" s="11">
        <v>45517</v>
      </c>
      <c r="G13" s="19">
        <v>0</v>
      </c>
      <c r="I13">
        <v>900</v>
      </c>
      <c r="J13" t="s">
        <v>15</v>
      </c>
    </row>
    <row r="14" spans="1:10" x14ac:dyDescent="0.25">
      <c r="A14" s="15">
        <v>45510</v>
      </c>
      <c r="B14" s="6" t="s">
        <v>11</v>
      </c>
      <c r="C14" s="7">
        <v>45</v>
      </c>
      <c r="D14" s="4" t="s">
        <v>8</v>
      </c>
      <c r="F14" s="11">
        <v>45518</v>
      </c>
      <c r="G14" s="19">
        <v>0</v>
      </c>
    </row>
    <row r="15" spans="1:10" x14ac:dyDescent="0.25">
      <c r="A15" s="5"/>
      <c r="B15" s="9" t="s">
        <v>10</v>
      </c>
      <c r="C15" s="10">
        <v>10</v>
      </c>
      <c r="D15" s="4" t="s">
        <v>8</v>
      </c>
      <c r="F15" s="11">
        <v>45519</v>
      </c>
      <c r="G15" s="19">
        <v>0</v>
      </c>
    </row>
    <row r="16" spans="1:10" x14ac:dyDescent="0.25">
      <c r="A16" s="5"/>
      <c r="B16" s="6"/>
      <c r="C16" s="7"/>
      <c r="D16" s="4"/>
      <c r="F16" s="11">
        <v>45520</v>
      </c>
      <c r="G16" s="19">
        <v>0</v>
      </c>
    </row>
    <row r="17" spans="1:7" x14ac:dyDescent="0.25">
      <c r="A17" s="5" t="s">
        <v>16</v>
      </c>
      <c r="B17" s="20">
        <v>3000</v>
      </c>
      <c r="C17" s="10"/>
      <c r="D17" s="4"/>
      <c r="F17" s="11">
        <v>45521</v>
      </c>
      <c r="G17" s="19">
        <v>0</v>
      </c>
    </row>
    <row r="18" spans="1:7" x14ac:dyDescent="0.25">
      <c r="A18" s="5">
        <v>45511</v>
      </c>
      <c r="B18" s="9" t="s">
        <v>11</v>
      </c>
      <c r="C18" s="7">
        <v>17</v>
      </c>
      <c r="D18" s="4" t="s">
        <v>8</v>
      </c>
      <c r="F18" s="11">
        <v>45522</v>
      </c>
      <c r="G18">
        <v>10</v>
      </c>
    </row>
    <row r="19" spans="1:7" x14ac:dyDescent="0.25">
      <c r="A19" s="5"/>
      <c r="B19" s="9"/>
      <c r="C19" s="10"/>
      <c r="D19" s="4"/>
      <c r="F19" s="11">
        <v>45523</v>
      </c>
      <c r="G19" s="19">
        <v>35</v>
      </c>
    </row>
    <row r="20" spans="1:7" x14ac:dyDescent="0.25">
      <c r="A20" s="21">
        <v>45512</v>
      </c>
      <c r="B20" s="6" t="s">
        <v>10</v>
      </c>
      <c r="C20" s="7">
        <v>10</v>
      </c>
      <c r="D20" s="4" t="s">
        <v>8</v>
      </c>
      <c r="F20" s="11">
        <v>45524</v>
      </c>
      <c r="G20">
        <v>44</v>
      </c>
    </row>
    <row r="21" spans="1:7" x14ac:dyDescent="0.25">
      <c r="A21" s="5"/>
      <c r="B21" s="9" t="s">
        <v>17</v>
      </c>
      <c r="C21" s="10">
        <v>10</v>
      </c>
      <c r="D21" s="4" t="s">
        <v>8</v>
      </c>
      <c r="F21" s="11">
        <v>45525</v>
      </c>
      <c r="G21">
        <v>20</v>
      </c>
    </row>
    <row r="22" spans="1:7" x14ac:dyDescent="0.25">
      <c r="A22" s="21"/>
      <c r="B22" s="9"/>
      <c r="C22" s="10"/>
      <c r="D22" s="4"/>
      <c r="F22" s="11">
        <v>45526</v>
      </c>
      <c r="G22">
        <v>40</v>
      </c>
    </row>
    <row r="23" spans="1:7" x14ac:dyDescent="0.25">
      <c r="A23" s="21">
        <v>45513</v>
      </c>
      <c r="B23" s="9" t="s">
        <v>11</v>
      </c>
      <c r="C23" s="10">
        <v>45</v>
      </c>
      <c r="D23" s="4" t="s">
        <v>8</v>
      </c>
      <c r="F23" s="11">
        <v>45527</v>
      </c>
      <c r="G23">
        <v>15</v>
      </c>
    </row>
    <row r="24" spans="1:7" x14ac:dyDescent="0.25">
      <c r="A24" s="5"/>
      <c r="B24" s="9" t="s">
        <v>18</v>
      </c>
      <c r="C24" s="10">
        <v>30</v>
      </c>
      <c r="D24" s="4" t="s">
        <v>8</v>
      </c>
      <c r="F24" s="11">
        <v>45528</v>
      </c>
      <c r="G24">
        <v>137</v>
      </c>
    </row>
    <row r="25" spans="1:7" x14ac:dyDescent="0.25">
      <c r="A25" s="21">
        <v>45514</v>
      </c>
      <c r="B25" s="9" t="s">
        <v>10</v>
      </c>
      <c r="C25" s="10">
        <v>10</v>
      </c>
      <c r="D25" s="4" t="s">
        <v>8</v>
      </c>
      <c r="F25" s="11">
        <v>45529</v>
      </c>
      <c r="G25">
        <v>73.5</v>
      </c>
    </row>
    <row r="26" spans="1:7" x14ac:dyDescent="0.25">
      <c r="A26" s="5"/>
      <c r="B26" s="9" t="s">
        <v>19</v>
      </c>
      <c r="C26" s="10">
        <v>20</v>
      </c>
      <c r="D26" s="4" t="s">
        <v>8</v>
      </c>
      <c r="F26" s="11">
        <v>45530</v>
      </c>
      <c r="G26">
        <f>SUM(C68:C71)</f>
        <v>57.5</v>
      </c>
    </row>
    <row r="27" spans="1:7" x14ac:dyDescent="0.25">
      <c r="A27" s="5"/>
      <c r="B27" s="9" t="s">
        <v>20</v>
      </c>
      <c r="C27" s="10">
        <v>10</v>
      </c>
      <c r="D27" s="4" t="s">
        <v>8</v>
      </c>
      <c r="F27" s="11">
        <v>45531</v>
      </c>
      <c r="G27" s="22">
        <f>SUM(C73:C76)</f>
        <v>80</v>
      </c>
    </row>
    <row r="28" spans="1:7" x14ac:dyDescent="0.25">
      <c r="A28" s="5"/>
      <c r="B28" s="9" t="s">
        <v>7</v>
      </c>
      <c r="C28" s="10">
        <v>0</v>
      </c>
      <c r="D28" s="4" t="s">
        <v>8</v>
      </c>
      <c r="F28" s="11">
        <v>45532</v>
      </c>
      <c r="G28" s="22">
        <f>SUM(C78:C82)</f>
        <v>145</v>
      </c>
    </row>
    <row r="29" spans="1:7" x14ac:dyDescent="0.25">
      <c r="A29" s="5"/>
      <c r="B29" s="9" t="s">
        <v>9</v>
      </c>
      <c r="C29" s="10">
        <v>14</v>
      </c>
      <c r="D29" s="4" t="s">
        <v>8</v>
      </c>
      <c r="F29" s="11">
        <v>45533</v>
      </c>
      <c r="G29" s="22">
        <v>90</v>
      </c>
    </row>
    <row r="30" spans="1:7" x14ac:dyDescent="0.25">
      <c r="A30" s="5"/>
      <c r="B30" s="9" t="s">
        <v>11</v>
      </c>
      <c r="C30" s="10">
        <v>90</v>
      </c>
      <c r="D30" s="4" t="s">
        <v>8</v>
      </c>
      <c r="F30" s="11">
        <v>45534</v>
      </c>
      <c r="G30">
        <v>115</v>
      </c>
    </row>
    <row r="31" spans="1:7" x14ac:dyDescent="0.25">
      <c r="A31" s="5">
        <v>45515</v>
      </c>
      <c r="B31" s="9" t="s">
        <v>7</v>
      </c>
      <c r="C31" s="23">
        <v>18</v>
      </c>
      <c r="D31" s="4" t="s">
        <v>8</v>
      </c>
      <c r="F31" s="11">
        <v>45535</v>
      </c>
      <c r="G31" s="19">
        <v>110.5</v>
      </c>
    </row>
    <row r="32" spans="1:7" x14ac:dyDescent="0.25">
      <c r="A32" s="5"/>
      <c r="B32" s="9" t="s">
        <v>9</v>
      </c>
      <c r="C32" s="23">
        <v>80</v>
      </c>
      <c r="D32" s="4" t="s">
        <v>8</v>
      </c>
    </row>
    <row r="33" spans="1:7" x14ac:dyDescent="0.25">
      <c r="A33" s="5"/>
      <c r="B33" s="9" t="s">
        <v>10</v>
      </c>
      <c r="C33" s="23">
        <v>10</v>
      </c>
      <c r="D33" s="4" t="s">
        <v>8</v>
      </c>
      <c r="G33">
        <f>SUM(G4:G32)</f>
        <v>1746</v>
      </c>
    </row>
    <row r="34" spans="1:7" x14ac:dyDescent="0.25">
      <c r="A34" s="5"/>
      <c r="B34" s="9" t="s">
        <v>11</v>
      </c>
      <c r="C34" s="23">
        <v>20</v>
      </c>
      <c r="D34" s="4" t="s">
        <v>8</v>
      </c>
    </row>
    <row r="35" spans="1:7" x14ac:dyDescent="0.25">
      <c r="A35" s="5">
        <v>45516</v>
      </c>
      <c r="B35" t="s">
        <v>11</v>
      </c>
      <c r="C35">
        <v>60</v>
      </c>
      <c r="D35" s="4" t="s">
        <v>8</v>
      </c>
    </row>
    <row r="36" spans="1:7" x14ac:dyDescent="0.25">
      <c r="A36" s="24"/>
      <c r="B36" s="13" t="s">
        <v>12</v>
      </c>
      <c r="C36" s="25">
        <v>30</v>
      </c>
      <c r="D36" s="4" t="s">
        <v>8</v>
      </c>
    </row>
    <row r="37" spans="1:7" x14ac:dyDescent="0.25">
      <c r="A37" s="11">
        <v>45522</v>
      </c>
      <c r="B37" t="s">
        <v>11</v>
      </c>
      <c r="C37">
        <v>10</v>
      </c>
      <c r="D37" s="4" t="s">
        <v>21</v>
      </c>
    </row>
    <row r="38" spans="1:7" x14ac:dyDescent="0.25">
      <c r="A38" s="26">
        <v>45523</v>
      </c>
      <c r="B38" s="22" t="s">
        <v>11</v>
      </c>
      <c r="C38" s="22">
        <v>15</v>
      </c>
      <c r="D38" s="27" t="s">
        <v>8</v>
      </c>
    </row>
    <row r="39" spans="1:7" x14ac:dyDescent="0.25">
      <c r="A39" s="22"/>
      <c r="B39" s="22" t="s">
        <v>10</v>
      </c>
      <c r="C39" s="22">
        <v>5</v>
      </c>
      <c r="D39" s="27" t="s">
        <v>8</v>
      </c>
    </row>
    <row r="40" spans="1:7" x14ac:dyDescent="0.25">
      <c r="A40" s="22"/>
      <c r="B40" s="22"/>
      <c r="C40" s="22"/>
      <c r="D40" s="22"/>
    </row>
    <row r="41" spans="1:7" x14ac:dyDescent="0.25">
      <c r="A41" s="28">
        <v>45524</v>
      </c>
      <c r="B41" s="22" t="s">
        <v>10</v>
      </c>
      <c r="C41" s="22">
        <v>5</v>
      </c>
      <c r="D41" s="27" t="s">
        <v>8</v>
      </c>
    </row>
    <row r="42" spans="1:7" x14ac:dyDescent="0.25">
      <c r="A42" s="22"/>
      <c r="B42" s="22" t="s">
        <v>11</v>
      </c>
      <c r="C42" s="22">
        <v>15</v>
      </c>
      <c r="D42" s="27" t="s">
        <v>8</v>
      </c>
    </row>
    <row r="43" spans="1:7" x14ac:dyDescent="0.25">
      <c r="A43" s="22"/>
      <c r="B43" s="22" t="s">
        <v>22</v>
      </c>
      <c r="C43" s="22">
        <v>15</v>
      </c>
      <c r="D43" s="27" t="s">
        <v>8</v>
      </c>
    </row>
    <row r="44" spans="1:7" x14ac:dyDescent="0.25">
      <c r="A44" s="22"/>
      <c r="B44" s="22" t="s">
        <v>23</v>
      </c>
      <c r="C44" s="22">
        <v>14</v>
      </c>
      <c r="D44" s="27" t="s">
        <v>8</v>
      </c>
    </row>
    <row r="45" spans="1:7" x14ac:dyDescent="0.25">
      <c r="A45" s="22"/>
      <c r="B45" s="22"/>
      <c r="C45" s="22"/>
      <c r="D45" s="22"/>
    </row>
    <row r="46" spans="1:7" x14ac:dyDescent="0.25">
      <c r="A46" s="28">
        <v>45525</v>
      </c>
      <c r="B46" s="22" t="s">
        <v>24</v>
      </c>
      <c r="C46" s="22">
        <v>5</v>
      </c>
      <c r="D46" s="27" t="s">
        <v>8</v>
      </c>
    </row>
    <row r="47" spans="1:7" x14ac:dyDescent="0.25">
      <c r="A47" s="22"/>
      <c r="B47" s="22" t="s">
        <v>25</v>
      </c>
      <c r="C47" s="22">
        <v>15</v>
      </c>
      <c r="D47" s="27" t="s">
        <v>8</v>
      </c>
    </row>
    <row r="48" spans="1:7" x14ac:dyDescent="0.25">
      <c r="A48" s="28">
        <v>45526</v>
      </c>
      <c r="B48" s="22" t="s">
        <v>24</v>
      </c>
      <c r="C48" s="22">
        <v>5</v>
      </c>
      <c r="D48" s="27" t="s">
        <v>8</v>
      </c>
    </row>
    <row r="49" spans="1:9" x14ac:dyDescent="0.25">
      <c r="A49" s="22"/>
      <c r="B49" s="22" t="s">
        <v>25</v>
      </c>
      <c r="C49" s="22">
        <v>15</v>
      </c>
      <c r="D49" s="27" t="s">
        <v>8</v>
      </c>
    </row>
    <row r="50" spans="1:9" x14ac:dyDescent="0.25">
      <c r="A50" s="22"/>
      <c r="B50" s="22" t="s">
        <v>26</v>
      </c>
      <c r="C50" s="22">
        <v>20</v>
      </c>
      <c r="D50" s="27" t="s">
        <v>8</v>
      </c>
      <c r="E50" t="s">
        <v>27</v>
      </c>
    </row>
    <row r="51" spans="1:9" x14ac:dyDescent="0.25">
      <c r="A51" s="22"/>
      <c r="B51" s="22"/>
      <c r="C51" s="22"/>
      <c r="D51" s="22"/>
    </row>
    <row r="52" spans="1:9" x14ac:dyDescent="0.25">
      <c r="A52" s="28">
        <v>45527</v>
      </c>
      <c r="B52" s="22" t="s">
        <v>24</v>
      </c>
      <c r="C52" s="22">
        <v>5</v>
      </c>
      <c r="D52" s="27" t="s">
        <v>8</v>
      </c>
    </row>
    <row r="53" spans="1:9" x14ac:dyDescent="0.25">
      <c r="A53" s="22"/>
      <c r="B53" s="22" t="s">
        <v>25</v>
      </c>
      <c r="C53" s="22">
        <v>10</v>
      </c>
      <c r="D53" s="27" t="s">
        <v>8</v>
      </c>
    </row>
    <row r="54" spans="1:9" x14ac:dyDescent="0.25">
      <c r="A54" s="22"/>
      <c r="B54" s="22"/>
      <c r="C54" s="22"/>
      <c r="D54" s="27"/>
    </row>
    <row r="55" spans="1:9" x14ac:dyDescent="0.25">
      <c r="A55" s="28">
        <v>45528</v>
      </c>
      <c r="B55" s="22" t="s">
        <v>28</v>
      </c>
      <c r="C55" s="22">
        <v>40</v>
      </c>
      <c r="D55" s="27" t="s">
        <v>8</v>
      </c>
      <c r="E55" t="s">
        <v>27</v>
      </c>
    </row>
    <row r="56" spans="1:9" x14ac:dyDescent="0.25">
      <c r="A56" s="22"/>
      <c r="B56" s="22" t="s">
        <v>24</v>
      </c>
      <c r="C56" s="22">
        <v>5</v>
      </c>
      <c r="D56" s="27" t="s">
        <v>8</v>
      </c>
    </row>
    <row r="57" spans="1:9" x14ac:dyDescent="0.25">
      <c r="A57" s="22"/>
      <c r="B57" s="22" t="s">
        <v>29</v>
      </c>
      <c r="C57" s="22">
        <v>50</v>
      </c>
      <c r="D57" s="27" t="s">
        <v>8</v>
      </c>
      <c r="E57" t="s">
        <v>30</v>
      </c>
    </row>
    <row r="58" spans="1:9" x14ac:dyDescent="0.25">
      <c r="A58" s="22"/>
      <c r="B58" s="22" t="s">
        <v>31</v>
      </c>
      <c r="C58" s="22">
        <v>7</v>
      </c>
      <c r="D58" s="27" t="s">
        <v>8</v>
      </c>
      <c r="G58">
        <v>7</v>
      </c>
    </row>
    <row r="59" spans="1:9" x14ac:dyDescent="0.25">
      <c r="A59" s="22"/>
      <c r="B59" s="22" t="s">
        <v>25</v>
      </c>
      <c r="C59" s="22">
        <v>15</v>
      </c>
      <c r="D59" s="27" t="s">
        <v>8</v>
      </c>
      <c r="I59" s="22"/>
    </row>
    <row r="60" spans="1:9" x14ac:dyDescent="0.25">
      <c r="A60" s="22"/>
      <c r="B60" s="22" t="s">
        <v>26</v>
      </c>
      <c r="C60" s="22">
        <v>20</v>
      </c>
      <c r="D60" s="27" t="s">
        <v>8</v>
      </c>
      <c r="E60" t="s">
        <v>27</v>
      </c>
    </row>
    <row r="61" spans="1:9" x14ac:dyDescent="0.25">
      <c r="A61" s="22"/>
      <c r="B61" s="22"/>
      <c r="C61" s="22"/>
      <c r="D61" s="27"/>
    </row>
    <row r="62" spans="1:9" x14ac:dyDescent="0.25">
      <c r="A62" s="28">
        <v>45529</v>
      </c>
      <c r="B62" s="22" t="s">
        <v>32</v>
      </c>
      <c r="C62" s="22">
        <v>13.5</v>
      </c>
      <c r="D62" s="27" t="s">
        <v>8</v>
      </c>
    </row>
    <row r="63" spans="1:9" x14ac:dyDescent="0.25">
      <c r="A63" s="22"/>
      <c r="B63" s="22" t="s">
        <v>24</v>
      </c>
      <c r="C63" s="22">
        <v>10</v>
      </c>
      <c r="D63" s="27" t="s">
        <v>8</v>
      </c>
    </row>
    <row r="64" spans="1:9" x14ac:dyDescent="0.25">
      <c r="A64" s="22"/>
      <c r="B64" s="22" t="s">
        <v>28</v>
      </c>
      <c r="C64" s="22">
        <v>30</v>
      </c>
      <c r="D64" s="27" t="s">
        <v>8</v>
      </c>
      <c r="E64" t="s">
        <v>27</v>
      </c>
    </row>
    <row r="65" spans="1:13" x14ac:dyDescent="0.25">
      <c r="A65" s="22"/>
      <c r="B65" s="22" t="s">
        <v>25</v>
      </c>
      <c r="C65" s="22">
        <v>15</v>
      </c>
      <c r="D65" s="27" t="s">
        <v>8</v>
      </c>
    </row>
    <row r="66" spans="1:13" x14ac:dyDescent="0.25">
      <c r="A66" s="22"/>
      <c r="B66" s="22" t="s">
        <v>22</v>
      </c>
      <c r="C66" s="22">
        <v>15</v>
      </c>
      <c r="D66" s="27" t="s">
        <v>8</v>
      </c>
    </row>
    <row r="67" spans="1:13" x14ac:dyDescent="0.25">
      <c r="A67" s="22"/>
      <c r="B67" s="22"/>
      <c r="C67" s="22"/>
      <c r="D67" s="27"/>
    </row>
    <row r="68" spans="1:13" x14ac:dyDescent="0.25">
      <c r="A68" s="28">
        <v>45530</v>
      </c>
      <c r="B68" s="22" t="s">
        <v>32</v>
      </c>
      <c r="C68" s="22">
        <v>8.5</v>
      </c>
      <c r="D68" s="27" t="s">
        <v>8</v>
      </c>
    </row>
    <row r="69" spans="1:13" x14ac:dyDescent="0.25">
      <c r="A69" s="22"/>
      <c r="B69" s="22" t="s">
        <v>24</v>
      </c>
      <c r="C69" s="22">
        <v>10</v>
      </c>
      <c r="D69" s="27" t="s">
        <v>8</v>
      </c>
    </row>
    <row r="70" spans="1:13" x14ac:dyDescent="0.25">
      <c r="A70" s="22"/>
      <c r="B70" s="22" t="s">
        <v>28</v>
      </c>
      <c r="C70" s="22">
        <v>30</v>
      </c>
      <c r="D70" s="27" t="s">
        <v>8</v>
      </c>
      <c r="E70" t="s">
        <v>27</v>
      </c>
    </row>
    <row r="71" spans="1:13" x14ac:dyDescent="0.25">
      <c r="A71" s="22"/>
      <c r="B71" s="22" t="s">
        <v>25</v>
      </c>
      <c r="C71">
        <v>9</v>
      </c>
      <c r="D71" s="27" t="s">
        <v>8</v>
      </c>
      <c r="L71" s="22"/>
      <c r="M71" s="22"/>
    </row>
    <row r="72" spans="1:13" x14ac:dyDescent="0.25">
      <c r="I72" s="27"/>
    </row>
    <row r="73" spans="1:13" x14ac:dyDescent="0.25">
      <c r="A73" s="28">
        <v>45531</v>
      </c>
      <c r="B73" s="22" t="s">
        <v>32</v>
      </c>
      <c r="C73" s="22">
        <v>0</v>
      </c>
      <c r="D73" s="27" t="s">
        <v>8</v>
      </c>
    </row>
    <row r="74" spans="1:13" x14ac:dyDescent="0.25">
      <c r="A74" s="22"/>
      <c r="B74" s="22" t="s">
        <v>24</v>
      </c>
      <c r="C74" s="22">
        <v>5</v>
      </c>
      <c r="D74" s="27" t="s">
        <v>8</v>
      </c>
    </row>
    <row r="75" spans="1:13" x14ac:dyDescent="0.25">
      <c r="A75" s="22"/>
      <c r="B75" s="22" t="s">
        <v>28</v>
      </c>
      <c r="C75" s="22">
        <v>30</v>
      </c>
      <c r="D75" s="27" t="s">
        <v>8</v>
      </c>
      <c r="E75" t="s">
        <v>27</v>
      </c>
    </row>
    <row r="76" spans="1:13" x14ac:dyDescent="0.25">
      <c r="A76" s="22"/>
      <c r="B76" s="22" t="s">
        <v>25</v>
      </c>
      <c r="C76" s="22">
        <v>45</v>
      </c>
      <c r="D76" s="27" t="s">
        <v>8</v>
      </c>
      <c r="E76" t="s">
        <v>27</v>
      </c>
    </row>
    <row r="77" spans="1:13" x14ac:dyDescent="0.25">
      <c r="D77" s="27"/>
    </row>
    <row r="78" spans="1:13" x14ac:dyDescent="0.25">
      <c r="A78" s="28">
        <v>45532</v>
      </c>
      <c r="B78" s="22" t="s">
        <v>32</v>
      </c>
      <c r="C78" s="22">
        <v>0</v>
      </c>
      <c r="D78" s="27" t="s">
        <v>8</v>
      </c>
    </row>
    <row r="79" spans="1:13" x14ac:dyDescent="0.25">
      <c r="A79" s="28"/>
      <c r="B79" s="22" t="s">
        <v>24</v>
      </c>
      <c r="C79" s="22">
        <v>5</v>
      </c>
      <c r="D79" s="27" t="s">
        <v>8</v>
      </c>
    </row>
    <row r="80" spans="1:13" x14ac:dyDescent="0.25">
      <c r="A80" s="22"/>
      <c r="B80" s="22" t="s">
        <v>28</v>
      </c>
      <c r="C80" s="22">
        <v>30</v>
      </c>
      <c r="D80" s="27" t="s">
        <v>8</v>
      </c>
      <c r="E80" t="s">
        <v>27</v>
      </c>
    </row>
    <row r="81" spans="1:5" x14ac:dyDescent="0.25">
      <c r="A81" s="22"/>
      <c r="B81" s="22" t="s">
        <v>25</v>
      </c>
      <c r="C81" s="22">
        <v>45</v>
      </c>
      <c r="D81" s="27" t="s">
        <v>8</v>
      </c>
    </row>
    <row r="82" spans="1:5" x14ac:dyDescent="0.25">
      <c r="A82" s="22"/>
      <c r="B82" s="22" t="s">
        <v>33</v>
      </c>
      <c r="C82" s="22">
        <v>65</v>
      </c>
      <c r="D82" s="27" t="s">
        <v>8</v>
      </c>
    </row>
    <row r="83" spans="1:5" x14ac:dyDescent="0.25">
      <c r="A83" s="22"/>
      <c r="B83" s="22"/>
      <c r="D83" s="27" t="s">
        <v>8</v>
      </c>
    </row>
    <row r="84" spans="1:5" x14ac:dyDescent="0.25">
      <c r="A84" s="28">
        <v>45533</v>
      </c>
      <c r="B84" t="s">
        <v>34</v>
      </c>
      <c r="C84" s="22">
        <v>0</v>
      </c>
      <c r="D84" s="27" t="s">
        <v>8</v>
      </c>
    </row>
    <row r="85" spans="1:5" x14ac:dyDescent="0.25">
      <c r="A85" s="22"/>
      <c r="B85" s="22" t="s">
        <v>24</v>
      </c>
      <c r="C85" s="22">
        <v>5</v>
      </c>
      <c r="D85" s="27" t="s">
        <v>8</v>
      </c>
    </row>
    <row r="86" spans="1:5" x14ac:dyDescent="0.25">
      <c r="A86" s="22"/>
      <c r="B86" s="22" t="s">
        <v>28</v>
      </c>
      <c r="C86" s="22">
        <v>40</v>
      </c>
      <c r="D86" s="27" t="s">
        <v>8</v>
      </c>
      <c r="E86" t="s">
        <v>27</v>
      </c>
    </row>
    <row r="87" spans="1:5" x14ac:dyDescent="0.25">
      <c r="A87" s="22"/>
      <c r="B87" s="22" t="s">
        <v>25</v>
      </c>
      <c r="C87" s="22">
        <v>30</v>
      </c>
      <c r="D87" s="27" t="s">
        <v>8</v>
      </c>
      <c r="E87" t="s">
        <v>27</v>
      </c>
    </row>
    <row r="88" spans="1:5" x14ac:dyDescent="0.25">
      <c r="A88" s="22"/>
      <c r="B88" s="22" t="s">
        <v>22</v>
      </c>
      <c r="C88">
        <v>15</v>
      </c>
      <c r="D88" s="27" t="s">
        <v>8</v>
      </c>
    </row>
    <row r="89" spans="1:5" x14ac:dyDescent="0.25">
      <c r="A89" s="28">
        <v>45534</v>
      </c>
      <c r="B89" t="s">
        <v>34</v>
      </c>
      <c r="C89" s="22">
        <v>0</v>
      </c>
      <c r="D89" s="27" t="s">
        <v>8</v>
      </c>
    </row>
    <row r="90" spans="1:5" x14ac:dyDescent="0.25">
      <c r="A90" s="22"/>
      <c r="B90" s="22" t="s">
        <v>24</v>
      </c>
      <c r="C90" s="22">
        <v>5</v>
      </c>
      <c r="D90" s="27" t="s">
        <v>8</v>
      </c>
    </row>
    <row r="91" spans="1:5" x14ac:dyDescent="0.25">
      <c r="A91" s="22"/>
      <c r="B91" s="22" t="s">
        <v>28</v>
      </c>
      <c r="C91" s="22">
        <v>40</v>
      </c>
      <c r="D91" s="27" t="s">
        <v>8</v>
      </c>
      <c r="E91" t="s">
        <v>27</v>
      </c>
    </row>
    <row r="92" spans="1:5" x14ac:dyDescent="0.25">
      <c r="A92" s="22"/>
      <c r="B92" s="22" t="s">
        <v>25</v>
      </c>
      <c r="C92" s="22">
        <v>70</v>
      </c>
      <c r="D92" s="27" t="s">
        <v>8</v>
      </c>
      <c r="E92" t="s">
        <v>27</v>
      </c>
    </row>
    <row r="93" spans="1:5" x14ac:dyDescent="0.25">
      <c r="D93" s="27" t="s">
        <v>8</v>
      </c>
    </row>
    <row r="94" spans="1:5" x14ac:dyDescent="0.25">
      <c r="A94" s="28">
        <v>45535</v>
      </c>
      <c r="B94" t="s">
        <v>34</v>
      </c>
      <c r="C94">
        <v>0</v>
      </c>
      <c r="D94" s="27" t="s">
        <v>8</v>
      </c>
    </row>
    <row r="95" spans="1:5" x14ac:dyDescent="0.25">
      <c r="A95" s="22"/>
      <c r="B95" s="22" t="s">
        <v>24</v>
      </c>
      <c r="C95">
        <v>15.5</v>
      </c>
      <c r="D95" s="27" t="s">
        <v>8</v>
      </c>
    </row>
    <row r="96" spans="1:5" x14ac:dyDescent="0.25">
      <c r="A96" s="22"/>
      <c r="B96" s="22" t="s">
        <v>28</v>
      </c>
      <c r="C96">
        <v>40</v>
      </c>
      <c r="D96" s="27" t="s">
        <v>8</v>
      </c>
    </row>
    <row r="97" spans="1:4" x14ac:dyDescent="0.25">
      <c r="A97" s="22"/>
      <c r="B97" s="22" t="s">
        <v>25</v>
      </c>
      <c r="C97">
        <v>0</v>
      </c>
      <c r="D97" s="27" t="s">
        <v>8</v>
      </c>
    </row>
    <row r="98" spans="1:4" x14ac:dyDescent="0.25">
      <c r="B98" s="22" t="s">
        <v>35</v>
      </c>
      <c r="C98">
        <v>55</v>
      </c>
      <c r="D98" s="27" t="s">
        <v>8</v>
      </c>
    </row>
  </sheetData>
  <mergeCells count="1">
    <mergeCell ref="A1:C1"/>
  </mergeCells>
  <pageMargins left="0.7" right="0.7" top="0.75" bottom="0.75" header="0.511811023622047" footer="0.511811023622047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36"/>
  <sheetViews>
    <sheetView topLeftCell="A134" zoomScale="145" zoomScaleNormal="145" workbookViewId="0">
      <selection activeCell="U128" sqref="U128"/>
    </sheetView>
  </sheetViews>
  <sheetFormatPr defaultColWidth="8.5703125" defaultRowHeight="15" x14ac:dyDescent="0.25"/>
  <cols>
    <col min="1" max="1" width="16.140625" customWidth="1"/>
    <col min="2" max="2" width="20.85546875" customWidth="1"/>
    <col min="3" max="3" width="20" customWidth="1"/>
    <col min="4" max="4" width="17.85546875" customWidth="1"/>
    <col min="5" max="5" width="17.28515625" customWidth="1"/>
    <col min="6" max="6" width="18" customWidth="1"/>
    <col min="7" max="7" width="16.28515625" customWidth="1"/>
    <col min="8" max="8" width="17" customWidth="1"/>
    <col min="9" max="9" width="16.42578125" customWidth="1"/>
  </cols>
  <sheetData>
    <row r="1" spans="1:9" ht="15" customHeight="1" x14ac:dyDescent="0.25">
      <c r="A1" s="58" t="s">
        <v>75</v>
      </c>
      <c r="B1" s="58"/>
      <c r="C1" s="58"/>
      <c r="D1" s="58"/>
      <c r="E1" s="58"/>
      <c r="F1" s="58"/>
      <c r="G1" s="58"/>
      <c r="H1" s="58"/>
    </row>
    <row r="2" spans="1:9" ht="15" customHeight="1" x14ac:dyDescent="0.25">
      <c r="A2" s="58"/>
      <c r="B2" s="58"/>
      <c r="C2" s="58"/>
      <c r="D2" s="58"/>
      <c r="E2" s="58"/>
      <c r="F2" s="58"/>
      <c r="G2" s="58"/>
      <c r="H2" s="58"/>
    </row>
    <row r="3" spans="1:9" ht="15" customHeight="1" x14ac:dyDescent="0.25">
      <c r="A3" s="58"/>
      <c r="B3" s="58"/>
      <c r="C3" s="58"/>
      <c r="D3" s="58"/>
      <c r="E3" s="58"/>
      <c r="F3" s="58"/>
      <c r="G3" s="58"/>
      <c r="H3" s="58"/>
    </row>
    <row r="4" spans="1:9" x14ac:dyDescent="0.25">
      <c r="A4" s="4" t="s">
        <v>5</v>
      </c>
      <c r="B4" s="4" t="s">
        <v>76</v>
      </c>
      <c r="C4" s="4" t="s">
        <v>77</v>
      </c>
      <c r="D4" s="4" t="s">
        <v>10</v>
      </c>
      <c r="E4" s="4" t="s">
        <v>78</v>
      </c>
      <c r="F4" s="4" t="s">
        <v>79</v>
      </c>
      <c r="G4" s="4" t="s">
        <v>80</v>
      </c>
      <c r="H4" s="4" t="s">
        <v>55</v>
      </c>
      <c r="I4" s="4" t="s">
        <v>81</v>
      </c>
    </row>
    <row r="5" spans="1:9" x14ac:dyDescent="0.25">
      <c r="C5" t="s">
        <v>80</v>
      </c>
      <c r="D5" t="s">
        <v>79</v>
      </c>
    </row>
    <row r="6" spans="1:9" x14ac:dyDescent="0.25">
      <c r="A6" s="11">
        <v>45536</v>
      </c>
      <c r="B6" t="s">
        <v>7</v>
      </c>
      <c r="C6">
        <v>18</v>
      </c>
      <c r="D6">
        <v>15.5</v>
      </c>
      <c r="F6">
        <v>7.5</v>
      </c>
      <c r="G6">
        <v>7.5</v>
      </c>
      <c r="H6">
        <v>15</v>
      </c>
      <c r="I6" t="s">
        <v>8</v>
      </c>
    </row>
    <row r="7" spans="1:9" x14ac:dyDescent="0.25">
      <c r="D7">
        <v>10</v>
      </c>
      <c r="F7">
        <v>9</v>
      </c>
      <c r="G7">
        <v>9</v>
      </c>
      <c r="H7">
        <v>18</v>
      </c>
    </row>
    <row r="8" spans="1:9" x14ac:dyDescent="0.25">
      <c r="B8" t="s">
        <v>28</v>
      </c>
      <c r="F8">
        <v>30</v>
      </c>
      <c r="G8">
        <v>30</v>
      </c>
      <c r="H8">
        <v>60</v>
      </c>
      <c r="I8" t="s">
        <v>8</v>
      </c>
    </row>
    <row r="9" spans="1:9" x14ac:dyDescent="0.25">
      <c r="B9" t="s">
        <v>25</v>
      </c>
      <c r="C9">
        <v>28</v>
      </c>
      <c r="F9">
        <v>14</v>
      </c>
      <c r="G9">
        <v>14</v>
      </c>
      <c r="H9">
        <v>28</v>
      </c>
    </row>
    <row r="10" spans="1:9" x14ac:dyDescent="0.25">
      <c r="A10" s="32"/>
      <c r="B10" s="32"/>
      <c r="C10" s="32"/>
      <c r="D10" s="32"/>
      <c r="E10" s="32"/>
      <c r="F10" s="32"/>
      <c r="G10" s="32"/>
      <c r="H10" s="32"/>
      <c r="I10" s="32"/>
    </row>
    <row r="11" spans="1:9" x14ac:dyDescent="0.25">
      <c r="A11" s="33">
        <v>45537</v>
      </c>
      <c r="D11" s="34"/>
      <c r="E11" s="34"/>
      <c r="F11" s="34"/>
      <c r="G11" s="34"/>
      <c r="H11" s="34"/>
      <c r="I11" s="34"/>
    </row>
    <row r="12" spans="1:9" x14ac:dyDescent="0.25">
      <c r="B12" t="s">
        <v>25</v>
      </c>
      <c r="F12">
        <v>33</v>
      </c>
      <c r="G12">
        <v>33</v>
      </c>
      <c r="H12">
        <v>66</v>
      </c>
      <c r="I12" t="s">
        <v>21</v>
      </c>
    </row>
    <row r="13" spans="1:9" x14ac:dyDescent="0.25">
      <c r="B13" t="s">
        <v>24</v>
      </c>
      <c r="D13">
        <v>10</v>
      </c>
      <c r="F13">
        <v>5</v>
      </c>
      <c r="G13">
        <v>5</v>
      </c>
      <c r="H13">
        <v>10</v>
      </c>
      <c r="I13" t="s">
        <v>21</v>
      </c>
    </row>
    <row r="15" spans="1:9" x14ac:dyDescent="0.25">
      <c r="A15" s="32"/>
      <c r="B15" s="32"/>
      <c r="D15" s="32"/>
      <c r="E15" s="32"/>
      <c r="F15" s="32"/>
      <c r="G15" s="32"/>
      <c r="H15" s="32"/>
      <c r="I15" s="32"/>
    </row>
    <row r="16" spans="1:9" x14ac:dyDescent="0.25">
      <c r="A16" s="33">
        <v>45538</v>
      </c>
      <c r="B16" s="34" t="s">
        <v>24</v>
      </c>
      <c r="C16" s="32"/>
      <c r="D16" s="34">
        <v>10</v>
      </c>
      <c r="E16" s="34"/>
      <c r="F16" s="34">
        <v>5</v>
      </c>
      <c r="G16" s="34">
        <v>5</v>
      </c>
      <c r="H16" s="34">
        <v>10</v>
      </c>
      <c r="I16" s="34" t="s">
        <v>21</v>
      </c>
    </row>
    <row r="17" spans="1:11" x14ac:dyDescent="0.25">
      <c r="B17" t="s">
        <v>25</v>
      </c>
      <c r="C17">
        <v>28</v>
      </c>
      <c r="F17">
        <v>14</v>
      </c>
      <c r="G17">
        <v>14</v>
      </c>
      <c r="H17">
        <v>28</v>
      </c>
      <c r="I17" t="s">
        <v>21</v>
      </c>
      <c r="K17" t="s">
        <v>82</v>
      </c>
    </row>
    <row r="20" spans="1:11" x14ac:dyDescent="0.25">
      <c r="A20" s="32"/>
      <c r="B20" s="32"/>
      <c r="C20" s="32"/>
      <c r="D20" s="32"/>
      <c r="E20" s="32"/>
      <c r="F20" s="32"/>
      <c r="G20" s="32"/>
      <c r="H20" s="32"/>
      <c r="I20" s="32"/>
    </row>
    <row r="21" spans="1:11" x14ac:dyDescent="0.25">
      <c r="A21" s="33">
        <v>45539</v>
      </c>
      <c r="B21" s="34"/>
      <c r="D21" s="34" t="s">
        <v>79</v>
      </c>
      <c r="E21" s="34">
        <v>200</v>
      </c>
      <c r="F21" s="34">
        <v>100</v>
      </c>
      <c r="G21" s="34">
        <v>100</v>
      </c>
      <c r="H21" s="34">
        <v>200</v>
      </c>
      <c r="I21" s="34" t="s">
        <v>21</v>
      </c>
    </row>
    <row r="22" spans="1:11" x14ac:dyDescent="0.25">
      <c r="B22" t="s">
        <v>24</v>
      </c>
      <c r="D22">
        <v>10</v>
      </c>
      <c r="F22">
        <v>5</v>
      </c>
      <c r="G22">
        <v>5</v>
      </c>
      <c r="H22">
        <v>10</v>
      </c>
      <c r="I22" s="34" t="s">
        <v>21</v>
      </c>
    </row>
    <row r="23" spans="1:11" x14ac:dyDescent="0.25">
      <c r="B23" t="s">
        <v>25</v>
      </c>
      <c r="C23">
        <v>28</v>
      </c>
      <c r="F23">
        <v>14</v>
      </c>
      <c r="G23">
        <v>14</v>
      </c>
      <c r="H23">
        <v>28</v>
      </c>
      <c r="I23" s="34" t="s">
        <v>21</v>
      </c>
    </row>
    <row r="25" spans="1:11" x14ac:dyDescent="0.25">
      <c r="A25" s="32"/>
      <c r="B25" s="32"/>
      <c r="C25" s="32"/>
      <c r="D25" s="32"/>
      <c r="E25" s="32"/>
      <c r="F25" s="32"/>
      <c r="G25" s="32"/>
      <c r="H25" s="32"/>
      <c r="I25" s="32"/>
    </row>
    <row r="26" spans="1:11" x14ac:dyDescent="0.25">
      <c r="A26" s="11">
        <v>45540</v>
      </c>
      <c r="B26" t="s">
        <v>18</v>
      </c>
      <c r="D26" t="s">
        <v>83</v>
      </c>
      <c r="E26">
        <v>30</v>
      </c>
      <c r="F26">
        <v>15</v>
      </c>
      <c r="G26">
        <v>15</v>
      </c>
      <c r="H26">
        <v>30</v>
      </c>
      <c r="I26" t="s">
        <v>21</v>
      </c>
    </row>
    <row r="27" spans="1:11" x14ac:dyDescent="0.25">
      <c r="B27" t="s">
        <v>24</v>
      </c>
      <c r="D27">
        <v>10</v>
      </c>
      <c r="F27">
        <v>5</v>
      </c>
      <c r="G27">
        <v>5</v>
      </c>
      <c r="H27">
        <v>10</v>
      </c>
      <c r="I27" t="s">
        <v>21</v>
      </c>
    </row>
    <row r="28" spans="1:11" x14ac:dyDescent="0.25">
      <c r="B28" t="s">
        <v>25</v>
      </c>
      <c r="C28">
        <v>28</v>
      </c>
      <c r="F28">
        <v>14</v>
      </c>
      <c r="G28">
        <v>14</v>
      </c>
      <c r="H28">
        <v>28</v>
      </c>
    </row>
    <row r="29" spans="1:11" x14ac:dyDescent="0.25">
      <c r="A29" s="32"/>
      <c r="B29" s="32"/>
      <c r="C29" s="32"/>
      <c r="D29" s="32"/>
      <c r="E29" s="32"/>
      <c r="F29" s="32"/>
      <c r="G29" s="32"/>
      <c r="H29" s="32"/>
      <c r="I29" s="32"/>
    </row>
    <row r="31" spans="1:11" x14ac:dyDescent="0.25">
      <c r="A31" s="11">
        <v>45541</v>
      </c>
    </row>
    <row r="32" spans="1:11" x14ac:dyDescent="0.25">
      <c r="B32" t="s">
        <v>84</v>
      </c>
      <c r="F32">
        <v>225</v>
      </c>
      <c r="G32">
        <v>225</v>
      </c>
      <c r="H32">
        <v>450</v>
      </c>
      <c r="I32" t="s">
        <v>8</v>
      </c>
    </row>
    <row r="33" spans="1:9" x14ac:dyDescent="0.25">
      <c r="B33" t="s">
        <v>24</v>
      </c>
      <c r="D33">
        <v>10</v>
      </c>
      <c r="F33">
        <v>5</v>
      </c>
      <c r="G33">
        <v>5</v>
      </c>
      <c r="H33">
        <v>10</v>
      </c>
      <c r="I33" t="s">
        <v>8</v>
      </c>
    </row>
    <row r="34" spans="1:9" x14ac:dyDescent="0.25">
      <c r="B34" t="s">
        <v>85</v>
      </c>
      <c r="F34">
        <v>45</v>
      </c>
      <c r="G34">
        <v>50</v>
      </c>
      <c r="H34">
        <v>95</v>
      </c>
      <c r="I34" t="s">
        <v>86</v>
      </c>
    </row>
    <row r="35" spans="1:9" x14ac:dyDescent="0.25">
      <c r="B35" t="s">
        <v>87</v>
      </c>
      <c r="F35">
        <v>84</v>
      </c>
      <c r="G35">
        <v>84</v>
      </c>
      <c r="H35">
        <v>168</v>
      </c>
      <c r="I35" t="s">
        <v>21</v>
      </c>
    </row>
    <row r="36" spans="1:9" x14ac:dyDescent="0.25">
      <c r="A36" s="32"/>
      <c r="B36" s="32"/>
      <c r="C36" s="32"/>
      <c r="D36" s="32"/>
      <c r="E36" s="32"/>
      <c r="F36" s="32"/>
      <c r="G36" s="32"/>
      <c r="H36" s="32"/>
      <c r="I36" s="32"/>
    </row>
    <row r="37" spans="1:9" x14ac:dyDescent="0.25">
      <c r="A37" s="11">
        <v>45542</v>
      </c>
      <c r="B37" t="s">
        <v>34</v>
      </c>
      <c r="F37">
        <v>50</v>
      </c>
      <c r="G37">
        <v>30</v>
      </c>
      <c r="H37">
        <v>80</v>
      </c>
    </row>
    <row r="38" spans="1:9" x14ac:dyDescent="0.25">
      <c r="B38" t="s">
        <v>28</v>
      </c>
      <c r="F38">
        <v>30</v>
      </c>
      <c r="G38">
        <v>40</v>
      </c>
      <c r="H38">
        <v>70</v>
      </c>
    </row>
    <row r="39" spans="1:9" x14ac:dyDescent="0.25">
      <c r="B39" t="s">
        <v>24</v>
      </c>
      <c r="D39">
        <v>23</v>
      </c>
      <c r="F39">
        <v>11.5</v>
      </c>
      <c r="G39">
        <v>11.5</v>
      </c>
      <c r="H39">
        <v>23</v>
      </c>
    </row>
    <row r="40" spans="1:9" x14ac:dyDescent="0.25">
      <c r="B40" t="s">
        <v>25</v>
      </c>
      <c r="C40">
        <v>28</v>
      </c>
      <c r="F40">
        <v>14</v>
      </c>
      <c r="G40">
        <v>14</v>
      </c>
      <c r="H40">
        <v>28</v>
      </c>
    </row>
    <row r="41" spans="1:9" x14ac:dyDescent="0.25">
      <c r="A41" s="32"/>
      <c r="B41" s="32" t="s">
        <v>88</v>
      </c>
      <c r="C41" s="32"/>
      <c r="D41" s="32" t="s">
        <v>79</v>
      </c>
      <c r="E41" s="32">
        <v>14</v>
      </c>
      <c r="F41" s="32">
        <v>7</v>
      </c>
      <c r="G41" s="32">
        <v>7</v>
      </c>
      <c r="H41" s="32">
        <v>14</v>
      </c>
      <c r="I41" s="32"/>
    </row>
    <row r="42" spans="1:9" x14ac:dyDescent="0.25">
      <c r="A42" s="35">
        <v>45543</v>
      </c>
      <c r="B42" t="s">
        <v>24</v>
      </c>
      <c r="D42">
        <v>10</v>
      </c>
      <c r="F42">
        <v>5</v>
      </c>
      <c r="G42">
        <v>5</v>
      </c>
      <c r="H42">
        <v>10</v>
      </c>
    </row>
    <row r="43" spans="1:9" x14ac:dyDescent="0.25">
      <c r="B43" t="s">
        <v>89</v>
      </c>
      <c r="D43" t="s">
        <v>79</v>
      </c>
      <c r="E43">
        <v>75</v>
      </c>
      <c r="F43">
        <v>37.5</v>
      </c>
      <c r="G43">
        <v>37.5</v>
      </c>
      <c r="H43">
        <v>45</v>
      </c>
      <c r="I43" t="s">
        <v>8</v>
      </c>
    </row>
    <row r="44" spans="1:9" x14ac:dyDescent="0.25">
      <c r="B44" t="s">
        <v>28</v>
      </c>
      <c r="F44">
        <v>30</v>
      </c>
      <c r="G44">
        <v>30</v>
      </c>
      <c r="H44">
        <v>60</v>
      </c>
      <c r="I44" t="s">
        <v>8</v>
      </c>
    </row>
    <row r="45" spans="1:9" x14ac:dyDescent="0.25">
      <c r="B45" t="s">
        <v>90</v>
      </c>
      <c r="F45">
        <v>45</v>
      </c>
      <c r="G45">
        <v>45</v>
      </c>
      <c r="H45">
        <v>90</v>
      </c>
      <c r="I45" t="s">
        <v>91</v>
      </c>
    </row>
    <row r="46" spans="1:9" x14ac:dyDescent="0.25">
      <c r="A46" s="32"/>
      <c r="B46" s="32"/>
      <c r="C46" s="32"/>
      <c r="D46" s="32">
        <v>10</v>
      </c>
      <c r="E46" s="32"/>
      <c r="F46" s="32">
        <v>5</v>
      </c>
      <c r="G46" s="32">
        <v>5</v>
      </c>
      <c r="H46" s="32">
        <v>10</v>
      </c>
      <c r="I46" s="32" t="s">
        <v>8</v>
      </c>
    </row>
    <row r="47" spans="1:9" x14ac:dyDescent="0.25">
      <c r="A47" s="11">
        <v>45544</v>
      </c>
      <c r="B47" t="s">
        <v>10</v>
      </c>
    </row>
    <row r="48" spans="1:9" x14ac:dyDescent="0.25">
      <c r="B48" t="s">
        <v>11</v>
      </c>
      <c r="F48">
        <v>33</v>
      </c>
      <c r="G48">
        <v>25</v>
      </c>
      <c r="H48">
        <v>58</v>
      </c>
    </row>
    <row r="49" spans="1:9" x14ac:dyDescent="0.25">
      <c r="B49" t="s">
        <v>92</v>
      </c>
      <c r="D49" t="s">
        <v>79</v>
      </c>
      <c r="E49">
        <v>12</v>
      </c>
      <c r="F49">
        <v>0</v>
      </c>
      <c r="G49">
        <v>12</v>
      </c>
      <c r="H49">
        <v>12</v>
      </c>
    </row>
    <row r="51" spans="1:9" x14ac:dyDescent="0.25">
      <c r="A51" s="32"/>
      <c r="B51" s="32"/>
      <c r="C51" s="32"/>
      <c r="D51" s="32"/>
      <c r="E51" s="32"/>
      <c r="F51" s="32"/>
      <c r="G51" s="32"/>
      <c r="H51" s="32"/>
      <c r="I51" s="32"/>
    </row>
    <row r="52" spans="1:9" x14ac:dyDescent="0.25">
      <c r="A52" s="11">
        <v>45545</v>
      </c>
      <c r="B52" t="s">
        <v>10</v>
      </c>
      <c r="D52">
        <v>10</v>
      </c>
      <c r="F52">
        <v>5</v>
      </c>
      <c r="G52">
        <v>5</v>
      </c>
      <c r="H52">
        <v>10</v>
      </c>
      <c r="I52" t="s">
        <v>8</v>
      </c>
    </row>
    <row r="53" spans="1:9" x14ac:dyDescent="0.25">
      <c r="B53" t="s">
        <v>11</v>
      </c>
      <c r="F53">
        <v>80</v>
      </c>
      <c r="G53">
        <v>90</v>
      </c>
      <c r="H53">
        <v>170</v>
      </c>
    </row>
    <row r="56" spans="1:9" x14ac:dyDescent="0.25">
      <c r="A56" s="32"/>
      <c r="B56" s="32"/>
      <c r="C56" s="32"/>
      <c r="D56" s="32"/>
      <c r="E56" s="32"/>
      <c r="F56" s="32"/>
      <c r="G56" s="32"/>
      <c r="H56" s="32"/>
      <c r="I56" s="32"/>
    </row>
    <row r="57" spans="1:9" x14ac:dyDescent="0.25">
      <c r="A57" s="11">
        <v>45546</v>
      </c>
    </row>
    <row r="58" spans="1:9" x14ac:dyDescent="0.25">
      <c r="B58" t="s">
        <v>93</v>
      </c>
    </row>
    <row r="60" spans="1:9" x14ac:dyDescent="0.25">
      <c r="A60" s="11">
        <v>45547</v>
      </c>
      <c r="B60" t="s">
        <v>94</v>
      </c>
    </row>
    <row r="61" spans="1:9" x14ac:dyDescent="0.25">
      <c r="A61" s="11">
        <v>45548</v>
      </c>
    </row>
    <row r="62" spans="1:9" x14ac:dyDescent="0.25">
      <c r="A62" s="11">
        <v>45549</v>
      </c>
      <c r="B62" t="s">
        <v>95</v>
      </c>
      <c r="F62">
        <v>46</v>
      </c>
    </row>
    <row r="63" spans="1:9" x14ac:dyDescent="0.25">
      <c r="A63" s="11">
        <v>45550</v>
      </c>
    </row>
    <row r="64" spans="1:9" x14ac:dyDescent="0.25">
      <c r="A64" s="11">
        <v>45551</v>
      </c>
    </row>
    <row r="65" spans="1:9" x14ac:dyDescent="0.25">
      <c r="A65" s="11">
        <v>45552</v>
      </c>
      <c r="B65" t="s">
        <v>96</v>
      </c>
    </row>
    <row r="67" spans="1:9" x14ac:dyDescent="0.25">
      <c r="A67" s="32"/>
      <c r="B67" s="32"/>
      <c r="C67" s="32"/>
      <c r="D67" s="32"/>
      <c r="E67" s="32"/>
      <c r="F67" s="32"/>
      <c r="G67" s="32"/>
      <c r="H67" s="32"/>
      <c r="I67" s="32"/>
    </row>
    <row r="70" spans="1:9" x14ac:dyDescent="0.25">
      <c r="A70" s="11">
        <v>45553</v>
      </c>
      <c r="B70" t="s">
        <v>97</v>
      </c>
      <c r="E70">
        <v>30</v>
      </c>
      <c r="F70">
        <v>0</v>
      </c>
      <c r="G70">
        <v>30</v>
      </c>
      <c r="H70">
        <v>30</v>
      </c>
    </row>
    <row r="71" spans="1:9" x14ac:dyDescent="0.25">
      <c r="B71" t="s">
        <v>98</v>
      </c>
      <c r="D71">
        <v>10</v>
      </c>
      <c r="F71">
        <v>5</v>
      </c>
      <c r="G71">
        <v>5</v>
      </c>
      <c r="H71">
        <v>10</v>
      </c>
    </row>
    <row r="72" spans="1:9" x14ac:dyDescent="0.25">
      <c r="B72" t="s">
        <v>25</v>
      </c>
      <c r="F72">
        <v>37</v>
      </c>
      <c r="G72">
        <v>25</v>
      </c>
      <c r="H72">
        <v>62</v>
      </c>
    </row>
    <row r="73" spans="1:9" x14ac:dyDescent="0.25">
      <c r="A73" s="32"/>
      <c r="B73" s="32"/>
      <c r="C73" s="32"/>
      <c r="D73" s="32"/>
      <c r="E73" s="32"/>
      <c r="F73" s="32"/>
      <c r="G73" s="32"/>
      <c r="H73" s="32"/>
      <c r="I73" s="32"/>
    </row>
    <row r="75" spans="1:9" x14ac:dyDescent="0.25">
      <c r="A75" s="36">
        <v>45554</v>
      </c>
      <c r="B75" t="s">
        <v>24</v>
      </c>
      <c r="D75">
        <v>10</v>
      </c>
      <c r="F75">
        <v>5</v>
      </c>
      <c r="G75">
        <v>5</v>
      </c>
      <c r="H75">
        <v>10</v>
      </c>
    </row>
    <row r="76" spans="1:9" x14ac:dyDescent="0.25">
      <c r="B76" t="s">
        <v>25</v>
      </c>
      <c r="F76">
        <v>33</v>
      </c>
      <c r="G76">
        <v>25</v>
      </c>
      <c r="H76">
        <v>58</v>
      </c>
    </row>
    <row r="77" spans="1:9" x14ac:dyDescent="0.25">
      <c r="B77" t="s">
        <v>99</v>
      </c>
    </row>
    <row r="79" spans="1:9" x14ac:dyDescent="0.25">
      <c r="A79" s="32"/>
      <c r="B79" s="37"/>
      <c r="C79" s="32"/>
      <c r="D79" s="32"/>
      <c r="E79" s="32"/>
      <c r="F79" s="32"/>
      <c r="G79" s="32"/>
      <c r="H79" s="32"/>
      <c r="I79" s="32"/>
    </row>
    <row r="80" spans="1:9" x14ac:dyDescent="0.25">
      <c r="A80" s="35">
        <v>45555</v>
      </c>
      <c r="B80" t="s">
        <v>24</v>
      </c>
      <c r="D80">
        <v>10</v>
      </c>
      <c r="F80">
        <v>5</v>
      </c>
      <c r="G80">
        <v>5</v>
      </c>
      <c r="H80">
        <v>10</v>
      </c>
    </row>
    <row r="81" spans="1:9" x14ac:dyDescent="0.25">
      <c r="B81" t="s">
        <v>25</v>
      </c>
      <c r="C81">
        <v>45</v>
      </c>
      <c r="F81">
        <v>20</v>
      </c>
      <c r="G81">
        <v>20</v>
      </c>
      <c r="H81">
        <v>40</v>
      </c>
    </row>
    <row r="82" spans="1:9" x14ac:dyDescent="0.25">
      <c r="B82" t="s">
        <v>100</v>
      </c>
      <c r="D82" t="s">
        <v>79</v>
      </c>
      <c r="E82">
        <v>160</v>
      </c>
      <c r="F82">
        <v>80</v>
      </c>
      <c r="G82">
        <v>80</v>
      </c>
      <c r="H82">
        <v>160</v>
      </c>
      <c r="I82" t="s">
        <v>83</v>
      </c>
    </row>
    <row r="84" spans="1:9" x14ac:dyDescent="0.25">
      <c r="A84" s="32"/>
      <c r="B84" s="32"/>
      <c r="C84" s="32"/>
      <c r="D84" s="32"/>
      <c r="E84" s="32"/>
      <c r="F84" s="32"/>
      <c r="G84" s="32"/>
      <c r="H84" s="32"/>
      <c r="I84" s="32"/>
    </row>
    <row r="85" spans="1:9" x14ac:dyDescent="0.25">
      <c r="A85" s="35">
        <v>45556</v>
      </c>
      <c r="B85" t="s">
        <v>24</v>
      </c>
      <c r="D85">
        <v>10</v>
      </c>
      <c r="F85">
        <v>5</v>
      </c>
      <c r="G85">
        <v>5</v>
      </c>
      <c r="H85">
        <v>10</v>
      </c>
    </row>
    <row r="86" spans="1:9" x14ac:dyDescent="0.25">
      <c r="B86" t="s">
        <v>25</v>
      </c>
      <c r="F86">
        <v>60</v>
      </c>
      <c r="G86">
        <v>100</v>
      </c>
      <c r="H86">
        <v>160</v>
      </c>
    </row>
    <row r="87" spans="1:9" x14ac:dyDescent="0.25">
      <c r="B87" t="s">
        <v>101</v>
      </c>
      <c r="F87">
        <v>59</v>
      </c>
      <c r="G87">
        <v>48</v>
      </c>
      <c r="H87">
        <v>107</v>
      </c>
    </row>
    <row r="89" spans="1:9" x14ac:dyDescent="0.25">
      <c r="A89" s="32"/>
      <c r="B89" s="32"/>
      <c r="C89" s="32"/>
      <c r="D89" s="32"/>
      <c r="E89" s="32"/>
      <c r="F89" s="32"/>
      <c r="G89" s="32"/>
      <c r="H89" s="32"/>
      <c r="I89" s="32"/>
    </row>
    <row r="90" spans="1:9" x14ac:dyDescent="0.25">
      <c r="A90" s="35">
        <v>45557</v>
      </c>
      <c r="B90" t="s">
        <v>24</v>
      </c>
      <c r="C90">
        <v>20</v>
      </c>
      <c r="F90">
        <v>10</v>
      </c>
      <c r="G90">
        <v>10</v>
      </c>
      <c r="H90">
        <v>20</v>
      </c>
    </row>
    <row r="91" spans="1:9" x14ac:dyDescent="0.25">
      <c r="B91" t="s">
        <v>34</v>
      </c>
      <c r="C91">
        <v>45</v>
      </c>
      <c r="D91">
        <v>0</v>
      </c>
      <c r="F91">
        <v>22</v>
      </c>
      <c r="G91">
        <v>23</v>
      </c>
      <c r="H91">
        <v>35</v>
      </c>
    </row>
    <row r="93" spans="1:9" x14ac:dyDescent="0.25">
      <c r="B93" t="s">
        <v>25</v>
      </c>
      <c r="C93">
        <v>28</v>
      </c>
      <c r="F93">
        <v>14</v>
      </c>
      <c r="G93">
        <v>14</v>
      </c>
      <c r="H93">
        <v>28</v>
      </c>
    </row>
    <row r="94" spans="1:9" x14ac:dyDescent="0.25">
      <c r="A94" s="32"/>
      <c r="B94" s="32" t="s">
        <v>102</v>
      </c>
      <c r="C94" s="32"/>
      <c r="D94" s="32" t="s">
        <v>79</v>
      </c>
      <c r="E94" s="32">
        <v>48</v>
      </c>
      <c r="F94" s="32">
        <v>39</v>
      </c>
      <c r="G94" s="32">
        <v>9</v>
      </c>
      <c r="H94" s="32">
        <v>48</v>
      </c>
      <c r="I94" s="32" t="s">
        <v>83</v>
      </c>
    </row>
    <row r="95" spans="1:9" x14ac:dyDescent="0.25">
      <c r="A95" s="35">
        <v>45558</v>
      </c>
      <c r="B95" t="s">
        <v>103</v>
      </c>
      <c r="F95">
        <v>24</v>
      </c>
      <c r="G95">
        <v>0</v>
      </c>
    </row>
    <row r="96" spans="1:9" x14ac:dyDescent="0.25">
      <c r="B96" t="s">
        <v>24</v>
      </c>
      <c r="D96">
        <v>10</v>
      </c>
      <c r="F96">
        <v>5</v>
      </c>
      <c r="G96">
        <v>5</v>
      </c>
      <c r="H96">
        <v>10</v>
      </c>
    </row>
    <row r="97" spans="1:9" x14ac:dyDescent="0.25">
      <c r="B97" t="s">
        <v>25</v>
      </c>
      <c r="C97">
        <v>28</v>
      </c>
      <c r="F97">
        <v>14</v>
      </c>
      <c r="G97">
        <v>14</v>
      </c>
      <c r="H97">
        <v>28</v>
      </c>
    </row>
    <row r="98" spans="1:9" x14ac:dyDescent="0.25">
      <c r="A98" s="32"/>
      <c r="B98" s="32" t="s">
        <v>104</v>
      </c>
      <c r="C98" s="32"/>
      <c r="D98" s="32"/>
      <c r="E98" s="32">
        <v>20</v>
      </c>
      <c r="F98" s="32">
        <v>10</v>
      </c>
      <c r="G98" s="32">
        <v>10</v>
      </c>
      <c r="H98" s="32">
        <v>20</v>
      </c>
      <c r="I98" s="32"/>
    </row>
    <row r="100" spans="1:9" x14ac:dyDescent="0.25">
      <c r="A100" s="36">
        <v>45559</v>
      </c>
      <c r="B100" t="s">
        <v>24</v>
      </c>
      <c r="D100">
        <v>10</v>
      </c>
      <c r="F100">
        <v>5</v>
      </c>
      <c r="G100">
        <v>5</v>
      </c>
      <c r="H100">
        <v>10</v>
      </c>
    </row>
    <row r="101" spans="1:9" x14ac:dyDescent="0.25">
      <c r="B101" t="s">
        <v>25</v>
      </c>
      <c r="C101">
        <v>28</v>
      </c>
      <c r="F101">
        <v>14</v>
      </c>
      <c r="G101">
        <v>14</v>
      </c>
      <c r="H101">
        <v>28</v>
      </c>
    </row>
    <row r="104" spans="1:9" x14ac:dyDescent="0.25">
      <c r="A104" s="32"/>
      <c r="B104" s="32"/>
      <c r="C104" s="32"/>
      <c r="D104" s="32"/>
      <c r="E104" s="32"/>
      <c r="F104" s="32"/>
      <c r="G104" s="32"/>
      <c r="H104" s="32"/>
      <c r="I104" s="32"/>
    </row>
    <row r="105" spans="1:9" x14ac:dyDescent="0.25">
      <c r="A105" s="35">
        <v>45560</v>
      </c>
      <c r="B105" t="s">
        <v>24</v>
      </c>
      <c r="D105">
        <v>10</v>
      </c>
      <c r="F105">
        <v>5</v>
      </c>
      <c r="G105">
        <v>5</v>
      </c>
      <c r="H105">
        <v>10</v>
      </c>
    </row>
    <row r="106" spans="1:9" x14ac:dyDescent="0.25">
      <c r="B106" t="s">
        <v>25</v>
      </c>
      <c r="C106">
        <v>28</v>
      </c>
      <c r="F106">
        <v>14</v>
      </c>
      <c r="G106">
        <v>14</v>
      </c>
      <c r="H106">
        <v>28</v>
      </c>
    </row>
    <row r="107" spans="1:9" x14ac:dyDescent="0.25">
      <c r="B107" t="s">
        <v>105</v>
      </c>
      <c r="F107">
        <v>10</v>
      </c>
    </row>
    <row r="108" spans="1:9" x14ac:dyDescent="0.25">
      <c r="A108" s="32"/>
      <c r="B108" s="32"/>
      <c r="C108" s="32"/>
      <c r="D108" s="32"/>
      <c r="E108" s="32"/>
      <c r="F108" s="32"/>
      <c r="G108" s="32"/>
      <c r="H108" s="32"/>
      <c r="I108" s="32"/>
    </row>
    <row r="109" spans="1:9" x14ac:dyDescent="0.25">
      <c r="A109" s="35">
        <v>45561</v>
      </c>
      <c r="B109" t="s">
        <v>24</v>
      </c>
      <c r="D109">
        <v>10</v>
      </c>
      <c r="F109">
        <v>5</v>
      </c>
      <c r="G109">
        <v>5</v>
      </c>
      <c r="H109">
        <v>10</v>
      </c>
    </row>
    <row r="110" spans="1:9" x14ac:dyDescent="0.25">
      <c r="B110" t="s">
        <v>25</v>
      </c>
      <c r="F110">
        <v>60</v>
      </c>
      <c r="G110">
        <v>45</v>
      </c>
      <c r="H110">
        <v>105</v>
      </c>
    </row>
    <row r="112" spans="1:9" x14ac:dyDescent="0.25">
      <c r="A112" s="32"/>
      <c r="B112" s="32"/>
      <c r="C112" s="32"/>
      <c r="D112" s="32"/>
      <c r="E112" s="32"/>
      <c r="F112" s="32"/>
      <c r="G112" s="32"/>
      <c r="H112" s="32"/>
      <c r="I112" s="32"/>
    </row>
    <row r="113" spans="1:21" x14ac:dyDescent="0.25">
      <c r="A113" s="38">
        <v>45562</v>
      </c>
      <c r="B113" t="s">
        <v>24</v>
      </c>
      <c r="D113">
        <v>10</v>
      </c>
      <c r="F113">
        <v>5</v>
      </c>
      <c r="G113">
        <v>5</v>
      </c>
      <c r="H113">
        <v>10</v>
      </c>
    </row>
    <row r="114" spans="1:21" x14ac:dyDescent="0.25">
      <c r="B114" t="s">
        <v>25</v>
      </c>
      <c r="C114">
        <v>28</v>
      </c>
      <c r="F114">
        <v>14</v>
      </c>
      <c r="G114">
        <v>14</v>
      </c>
      <c r="H114">
        <v>28</v>
      </c>
    </row>
    <row r="116" spans="1:21" x14ac:dyDescent="0.25">
      <c r="A116" s="32"/>
      <c r="B116" s="32"/>
      <c r="C116" s="32"/>
      <c r="D116" s="32"/>
      <c r="E116" s="32"/>
      <c r="F116" s="32"/>
      <c r="G116" s="32"/>
      <c r="H116" s="32"/>
      <c r="I116" s="32"/>
    </row>
    <row r="117" spans="1:21" x14ac:dyDescent="0.25">
      <c r="A117" s="35">
        <v>45563</v>
      </c>
      <c r="B117" t="s">
        <v>24</v>
      </c>
      <c r="D117">
        <v>20</v>
      </c>
      <c r="F117">
        <v>10</v>
      </c>
      <c r="G117">
        <v>10</v>
      </c>
      <c r="H117">
        <v>20</v>
      </c>
    </row>
    <row r="118" spans="1:21" x14ac:dyDescent="0.25">
      <c r="B118" t="s">
        <v>25</v>
      </c>
      <c r="F118">
        <v>40</v>
      </c>
      <c r="G118">
        <v>30</v>
      </c>
      <c r="H118">
        <v>70</v>
      </c>
    </row>
    <row r="119" spans="1:21" x14ac:dyDescent="0.25">
      <c r="B119" t="s">
        <v>106</v>
      </c>
      <c r="D119" t="s">
        <v>79</v>
      </c>
      <c r="E119">
        <v>131</v>
      </c>
      <c r="F119">
        <v>65.5</v>
      </c>
      <c r="G119">
        <v>65.5</v>
      </c>
      <c r="H119">
        <v>131</v>
      </c>
    </row>
    <row r="120" spans="1:21" x14ac:dyDescent="0.25">
      <c r="A120" s="32"/>
      <c r="B120" s="32" t="s">
        <v>9</v>
      </c>
      <c r="C120" s="32">
        <v>30</v>
      </c>
      <c r="D120" t="s">
        <v>79</v>
      </c>
      <c r="E120" s="32"/>
      <c r="F120" s="32">
        <v>15</v>
      </c>
      <c r="G120" s="32">
        <v>15</v>
      </c>
      <c r="H120" s="32">
        <v>30</v>
      </c>
      <c r="I120" s="32"/>
    </row>
    <row r="121" spans="1:21" x14ac:dyDescent="0.25">
      <c r="A121" s="39"/>
      <c r="B121" s="39" t="s">
        <v>107</v>
      </c>
      <c r="C121" s="39"/>
      <c r="D121" s="39" t="s">
        <v>108</v>
      </c>
      <c r="E121" s="39">
        <v>80</v>
      </c>
      <c r="F121" s="39">
        <v>40</v>
      </c>
      <c r="G121" s="39">
        <v>40</v>
      </c>
      <c r="H121" s="39">
        <v>80</v>
      </c>
      <c r="I121" s="39"/>
    </row>
    <row r="122" spans="1:21" x14ac:dyDescent="0.25">
      <c r="B122" t="s">
        <v>34</v>
      </c>
      <c r="F122">
        <v>40</v>
      </c>
    </row>
    <row r="123" spans="1:21" x14ac:dyDescent="0.25">
      <c r="A123" s="35">
        <v>45564</v>
      </c>
      <c r="B123" t="s">
        <v>24</v>
      </c>
      <c r="F123">
        <v>10</v>
      </c>
    </row>
    <row r="124" spans="1:21" x14ac:dyDescent="0.25">
      <c r="B124" t="s">
        <v>25</v>
      </c>
    </row>
    <row r="125" spans="1:21" x14ac:dyDescent="0.25">
      <c r="B125" t="s">
        <v>109</v>
      </c>
      <c r="E125">
        <v>53</v>
      </c>
      <c r="F125">
        <v>26.5</v>
      </c>
      <c r="G125">
        <v>26.5</v>
      </c>
      <c r="H125">
        <v>53</v>
      </c>
    </row>
    <row r="126" spans="1:21" x14ac:dyDescent="0.25">
      <c r="A126" s="32"/>
      <c r="B126" s="32"/>
      <c r="C126" s="32"/>
      <c r="D126" s="32"/>
      <c r="E126" s="32"/>
      <c r="F126" s="32"/>
      <c r="G126" s="32"/>
      <c r="H126" s="32"/>
      <c r="I126" s="32"/>
    </row>
    <row r="127" spans="1:21" x14ac:dyDescent="0.25">
      <c r="A127" s="35">
        <v>45565</v>
      </c>
      <c r="B127" t="s">
        <v>24</v>
      </c>
      <c r="M127" t="s">
        <v>83</v>
      </c>
      <c r="N127" t="s">
        <v>110</v>
      </c>
      <c r="O127">
        <v>211.5</v>
      </c>
      <c r="Q127" t="s">
        <v>108</v>
      </c>
      <c r="R127" t="s">
        <v>24</v>
      </c>
      <c r="S127">
        <v>119.25</v>
      </c>
    </row>
    <row r="128" spans="1:21" x14ac:dyDescent="0.25">
      <c r="B128" t="s">
        <v>25</v>
      </c>
      <c r="N128" t="s">
        <v>107</v>
      </c>
      <c r="O128">
        <v>40</v>
      </c>
      <c r="R128" t="s">
        <v>111</v>
      </c>
      <c r="S128">
        <v>366.5</v>
      </c>
      <c r="U128">
        <v>742</v>
      </c>
    </row>
    <row r="129" spans="3:21" x14ac:dyDescent="0.25">
      <c r="O129">
        <v>251.5</v>
      </c>
      <c r="S129">
        <f>SUM(S127:S128)</f>
        <v>485.75</v>
      </c>
      <c r="U129">
        <v>231</v>
      </c>
    </row>
    <row r="130" spans="3:21" x14ac:dyDescent="0.25">
      <c r="S130">
        <v>231</v>
      </c>
      <c r="U130">
        <v>217</v>
      </c>
    </row>
    <row r="131" spans="3:21" x14ac:dyDescent="0.25">
      <c r="U131">
        <v>180</v>
      </c>
    </row>
    <row r="132" spans="3:21" x14ac:dyDescent="0.25">
      <c r="S132">
        <v>254.75</v>
      </c>
    </row>
    <row r="135" spans="3:21" x14ac:dyDescent="0.25">
      <c r="C135" s="32">
        <f t="shared" ref="C135:H135" si="0">SUM(C5:C131)</f>
        <v>438</v>
      </c>
      <c r="D135" s="32">
        <f t="shared" si="0"/>
        <v>238.5</v>
      </c>
      <c r="E135" s="32">
        <f t="shared" si="0"/>
        <v>853</v>
      </c>
      <c r="F135" s="32">
        <f t="shared" si="0"/>
        <v>1854.5</v>
      </c>
      <c r="G135" s="32">
        <f t="shared" si="0"/>
        <v>1718.5</v>
      </c>
      <c r="H135" s="32">
        <f t="shared" si="0"/>
        <v>3403</v>
      </c>
    </row>
    <row r="136" spans="3:21" x14ac:dyDescent="0.25">
      <c r="C136" t="s">
        <v>112</v>
      </c>
      <c r="D136" t="s">
        <v>10</v>
      </c>
      <c r="E136" t="s">
        <v>113</v>
      </c>
      <c r="F136" t="s">
        <v>79</v>
      </c>
      <c r="G136" t="s">
        <v>80</v>
      </c>
      <c r="H136" t="s">
        <v>114</v>
      </c>
    </row>
  </sheetData>
  <mergeCells count="1">
    <mergeCell ref="A1:H3"/>
  </mergeCells>
  <pageMargins left="0.7" right="0.7" top="0.75" bottom="0.75" header="0.511811023622047" footer="0.511811023622047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F487-B691-45E2-A574-C1271B3247B6}">
  <dimension ref="A1:AB40"/>
  <sheetViews>
    <sheetView topLeftCell="E16" zoomScale="130" zoomScaleNormal="130" workbookViewId="0">
      <selection activeCell="K39" sqref="K39"/>
    </sheetView>
  </sheetViews>
  <sheetFormatPr defaultRowHeight="15" x14ac:dyDescent="0.25"/>
  <cols>
    <col min="1" max="1" width="15.42578125" customWidth="1"/>
    <col min="16" max="16" width="17.85546875" customWidth="1"/>
    <col min="26" max="26" width="10.7109375" customWidth="1"/>
    <col min="27" max="27" width="12.7109375" customWidth="1"/>
    <col min="28" max="28" width="10.7109375" customWidth="1"/>
  </cols>
  <sheetData>
    <row r="1" spans="1:28" ht="18.75" x14ac:dyDescent="0.25">
      <c r="A1" s="62" t="s">
        <v>129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4"/>
      <c r="AB1" s="40"/>
    </row>
    <row r="2" spans="1:28" ht="24.75" x14ac:dyDescent="0.25">
      <c r="A2" s="65" t="s">
        <v>5</v>
      </c>
      <c r="B2" s="68" t="s">
        <v>115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1:28" x14ac:dyDescent="0.25">
      <c r="A3" s="66"/>
      <c r="B3" s="59" t="s">
        <v>124</v>
      </c>
      <c r="C3" s="60"/>
      <c r="D3" s="59" t="s">
        <v>116</v>
      </c>
      <c r="E3" s="60"/>
      <c r="F3" s="59" t="s">
        <v>117</v>
      </c>
      <c r="G3" s="60"/>
      <c r="H3" s="59" t="s">
        <v>118</v>
      </c>
      <c r="I3" s="60"/>
      <c r="J3" s="59" t="s">
        <v>131</v>
      </c>
      <c r="K3" s="60"/>
      <c r="L3" s="59" t="s">
        <v>126</v>
      </c>
      <c r="M3" s="60"/>
      <c r="N3" s="59" t="s">
        <v>130</v>
      </c>
      <c r="O3" s="60"/>
      <c r="P3" s="59" t="s">
        <v>128</v>
      </c>
      <c r="Q3" s="60"/>
      <c r="R3" s="59" t="s">
        <v>119</v>
      </c>
      <c r="S3" s="60"/>
      <c r="T3" s="43" t="s">
        <v>120</v>
      </c>
      <c r="U3" s="43" t="s">
        <v>121</v>
      </c>
      <c r="V3" s="43" t="s">
        <v>122</v>
      </c>
      <c r="W3" s="41"/>
    </row>
    <row r="4" spans="1:28" x14ac:dyDescent="0.25">
      <c r="A4" s="67"/>
      <c r="B4" s="43" t="s">
        <v>79</v>
      </c>
      <c r="C4" s="43" t="s">
        <v>123</v>
      </c>
      <c r="D4" s="43" t="s">
        <v>79</v>
      </c>
      <c r="E4" s="43" t="s">
        <v>123</v>
      </c>
      <c r="F4" s="43" t="s">
        <v>79</v>
      </c>
      <c r="G4" s="43" t="s">
        <v>123</v>
      </c>
      <c r="H4" s="43" t="s">
        <v>79</v>
      </c>
      <c r="I4" s="43" t="s">
        <v>123</v>
      </c>
      <c r="J4" s="43" t="s">
        <v>79</v>
      </c>
      <c r="K4" s="43" t="s">
        <v>123</v>
      </c>
      <c r="L4" s="43" t="s">
        <v>10</v>
      </c>
      <c r="M4" s="43" t="s">
        <v>112</v>
      </c>
      <c r="N4" s="43" t="s">
        <v>79</v>
      </c>
      <c r="O4" s="43" t="s">
        <v>123</v>
      </c>
      <c r="P4" s="59" t="s">
        <v>79</v>
      </c>
      <c r="Q4" s="60"/>
      <c r="R4" s="43" t="s">
        <v>79</v>
      </c>
      <c r="S4" s="43" t="s">
        <v>123</v>
      </c>
      <c r="T4" s="43" t="s">
        <v>79</v>
      </c>
      <c r="U4" s="43" t="s">
        <v>123</v>
      </c>
      <c r="V4" s="43" t="s">
        <v>79</v>
      </c>
      <c r="W4" s="42"/>
    </row>
    <row r="5" spans="1:28" ht="26.25" customHeight="1" x14ac:dyDescent="0.25">
      <c r="A5" s="45">
        <v>45536</v>
      </c>
      <c r="B5" s="46">
        <v>5</v>
      </c>
      <c r="C5" s="46">
        <v>5</v>
      </c>
      <c r="D5" s="46">
        <v>0</v>
      </c>
      <c r="E5" s="46">
        <v>0</v>
      </c>
      <c r="F5" s="46">
        <v>0</v>
      </c>
      <c r="G5" s="46">
        <v>0</v>
      </c>
      <c r="H5" s="46">
        <v>45</v>
      </c>
      <c r="I5" s="46">
        <v>60</v>
      </c>
      <c r="J5" s="47">
        <v>0</v>
      </c>
      <c r="K5" s="46">
        <v>0</v>
      </c>
      <c r="L5" s="46">
        <v>10</v>
      </c>
      <c r="M5" s="46">
        <v>0</v>
      </c>
      <c r="N5" s="46">
        <v>21.5</v>
      </c>
      <c r="O5" s="46">
        <v>21.5</v>
      </c>
      <c r="P5" s="59">
        <v>43</v>
      </c>
      <c r="Q5" s="60"/>
      <c r="R5" s="46">
        <v>0</v>
      </c>
      <c r="S5" s="46">
        <v>0</v>
      </c>
      <c r="T5" s="48">
        <f>+B5+D5+F5+H5+N5+J5+R5</f>
        <v>71.5</v>
      </c>
      <c r="U5" s="48">
        <f>+C5+E5+G5+I5+K5+X5+Y10+S5+O5</f>
        <v>86.5</v>
      </c>
      <c r="V5" s="48">
        <f>T5+U5</f>
        <v>158</v>
      </c>
      <c r="W5" s="42"/>
      <c r="Z5" s="47"/>
      <c r="AA5" s="47"/>
      <c r="AB5" s="47"/>
    </row>
    <row r="6" spans="1:28" ht="26.25" customHeight="1" x14ac:dyDescent="0.25">
      <c r="A6" s="45">
        <v>45537</v>
      </c>
      <c r="B6" s="46">
        <v>10</v>
      </c>
      <c r="C6" s="46">
        <v>10</v>
      </c>
      <c r="D6" s="46">
        <v>9</v>
      </c>
      <c r="E6" s="46">
        <v>9</v>
      </c>
      <c r="F6" s="46">
        <v>5</v>
      </c>
      <c r="G6" s="46">
        <v>5</v>
      </c>
      <c r="H6" s="54">
        <v>45</v>
      </c>
      <c r="I6" s="46">
        <v>0</v>
      </c>
      <c r="J6" s="46">
        <v>25</v>
      </c>
      <c r="K6" s="46">
        <v>25</v>
      </c>
      <c r="L6" s="46">
        <v>20</v>
      </c>
      <c r="M6" s="46">
        <v>36</v>
      </c>
      <c r="N6" s="46">
        <v>0</v>
      </c>
      <c r="O6" s="46">
        <v>0</v>
      </c>
      <c r="P6" s="59">
        <v>50</v>
      </c>
      <c r="Q6" s="60"/>
      <c r="R6" s="46">
        <v>0</v>
      </c>
      <c r="S6" s="46">
        <v>0</v>
      </c>
      <c r="T6" s="48">
        <f t="shared" ref="T6:T35" si="0">+B6+D6+F6+H6+N6+J6+R6</f>
        <v>94</v>
      </c>
      <c r="U6" s="48">
        <f>+C6+E6+G6+I6+K6+X6+Y11+S6+O6</f>
        <v>49</v>
      </c>
      <c r="V6" s="46">
        <f>+V5+T6+U6</f>
        <v>301</v>
      </c>
      <c r="W6" s="49"/>
      <c r="X6" s="47"/>
      <c r="Y6" s="47"/>
      <c r="Z6" s="47"/>
      <c r="AA6" s="47"/>
      <c r="AB6" s="47"/>
    </row>
    <row r="7" spans="1:28" ht="29.25" customHeight="1" x14ac:dyDescent="0.25">
      <c r="A7" s="45">
        <v>45538</v>
      </c>
      <c r="B7" s="46">
        <v>5</v>
      </c>
      <c r="C7" s="46">
        <v>5</v>
      </c>
      <c r="D7" s="46">
        <v>10</v>
      </c>
      <c r="E7" s="46">
        <v>10</v>
      </c>
      <c r="F7" s="46">
        <v>5</v>
      </c>
      <c r="G7" s="46">
        <v>5</v>
      </c>
      <c r="H7" s="46">
        <v>0</v>
      </c>
      <c r="I7" s="46">
        <v>0</v>
      </c>
      <c r="J7" s="46">
        <v>65</v>
      </c>
      <c r="K7" s="46">
        <v>65</v>
      </c>
      <c r="L7" s="46">
        <v>10</v>
      </c>
      <c r="M7" s="46">
        <v>30</v>
      </c>
      <c r="N7" s="46">
        <v>50</v>
      </c>
      <c r="O7" s="46">
        <v>0</v>
      </c>
      <c r="P7" s="59">
        <v>190</v>
      </c>
      <c r="Q7" s="60"/>
      <c r="R7" s="46">
        <v>0</v>
      </c>
      <c r="S7" s="46">
        <v>0</v>
      </c>
      <c r="T7" s="48">
        <f>+B7+D7+F7+H7+N7+J7+R7</f>
        <v>135</v>
      </c>
      <c r="U7" s="48">
        <f>+C7+E7+G7+I7+K7+X7+Y12+S7+O7</f>
        <v>85</v>
      </c>
      <c r="V7" s="46">
        <f t="shared" ref="V7:V35" si="1">+V6+T7+U7</f>
        <v>521</v>
      </c>
      <c r="W7" s="42"/>
      <c r="X7" s="47"/>
      <c r="Y7" s="47"/>
      <c r="Z7" s="47"/>
      <c r="AA7" s="47"/>
      <c r="AB7" s="47"/>
    </row>
    <row r="8" spans="1:28" ht="24" customHeight="1" x14ac:dyDescent="0.25">
      <c r="A8" s="45">
        <v>45539</v>
      </c>
      <c r="B8" s="46">
        <v>5</v>
      </c>
      <c r="C8" s="46">
        <v>5</v>
      </c>
      <c r="D8" s="46">
        <v>9</v>
      </c>
      <c r="E8" s="46">
        <v>9</v>
      </c>
      <c r="F8" s="46">
        <v>5</v>
      </c>
      <c r="G8" s="46">
        <v>5</v>
      </c>
      <c r="H8" s="46">
        <v>0</v>
      </c>
      <c r="I8" s="46">
        <v>0</v>
      </c>
      <c r="J8" s="46">
        <v>0</v>
      </c>
      <c r="K8" s="46">
        <v>0</v>
      </c>
      <c r="L8" s="46">
        <v>10</v>
      </c>
      <c r="M8" s="46">
        <v>28</v>
      </c>
      <c r="N8" s="46">
        <v>0</v>
      </c>
      <c r="O8" s="46">
        <v>0</v>
      </c>
      <c r="P8" s="59">
        <v>0</v>
      </c>
      <c r="Q8" s="60"/>
      <c r="R8" s="46">
        <v>0</v>
      </c>
      <c r="S8" s="46">
        <v>0</v>
      </c>
      <c r="T8" s="48">
        <f t="shared" si="0"/>
        <v>19</v>
      </c>
      <c r="U8" s="48">
        <f t="shared" ref="U8:U35" si="2">+C8+E8+G8+I8+K8+X8+Y13+S8+O8</f>
        <v>19</v>
      </c>
      <c r="V8" s="46">
        <f t="shared" si="1"/>
        <v>559</v>
      </c>
      <c r="W8" s="42"/>
      <c r="X8" s="47"/>
      <c r="Y8" s="47"/>
      <c r="Z8" s="47"/>
      <c r="AA8" s="47"/>
      <c r="AB8" s="47"/>
    </row>
    <row r="9" spans="1:28" ht="30" customHeight="1" x14ac:dyDescent="0.25">
      <c r="A9" s="45">
        <v>45540</v>
      </c>
      <c r="B9" s="46">
        <v>15</v>
      </c>
      <c r="C9" s="46">
        <v>5</v>
      </c>
      <c r="D9" s="46">
        <v>0</v>
      </c>
      <c r="E9" s="46">
        <v>0</v>
      </c>
      <c r="F9" s="46">
        <v>0</v>
      </c>
      <c r="G9" s="46">
        <v>0</v>
      </c>
      <c r="H9" s="46">
        <v>85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25</v>
      </c>
      <c r="O9" s="46">
        <v>15</v>
      </c>
      <c r="P9" s="59">
        <v>30</v>
      </c>
      <c r="Q9" s="60"/>
      <c r="R9" s="46">
        <v>0</v>
      </c>
      <c r="S9" s="46">
        <v>0</v>
      </c>
      <c r="T9" s="48">
        <f t="shared" si="0"/>
        <v>125</v>
      </c>
      <c r="U9" s="48">
        <f t="shared" si="2"/>
        <v>20</v>
      </c>
      <c r="V9" s="46">
        <f t="shared" si="1"/>
        <v>704</v>
      </c>
      <c r="W9" s="42"/>
      <c r="X9" s="47"/>
      <c r="Y9" s="47"/>
      <c r="Z9" s="47"/>
      <c r="AA9" s="47"/>
      <c r="AB9" s="47"/>
    </row>
    <row r="10" spans="1:28" ht="30" customHeight="1" x14ac:dyDescent="0.25">
      <c r="A10" s="45">
        <v>45541</v>
      </c>
      <c r="B10" s="46">
        <v>10</v>
      </c>
      <c r="C10" s="46">
        <v>0</v>
      </c>
      <c r="D10" s="46">
        <v>0</v>
      </c>
      <c r="E10" s="46">
        <v>0</v>
      </c>
      <c r="F10" s="46">
        <v>0</v>
      </c>
      <c r="G10" s="46">
        <v>0</v>
      </c>
      <c r="H10" s="46">
        <v>70</v>
      </c>
      <c r="I10" s="46">
        <v>0</v>
      </c>
      <c r="J10" s="46">
        <v>0</v>
      </c>
      <c r="K10" s="46">
        <v>0</v>
      </c>
      <c r="L10" s="46">
        <v>10</v>
      </c>
      <c r="M10" s="46">
        <v>0</v>
      </c>
      <c r="N10" s="46">
        <v>38</v>
      </c>
      <c r="O10" s="46">
        <v>38</v>
      </c>
      <c r="P10" s="59">
        <v>38</v>
      </c>
      <c r="Q10" s="60"/>
      <c r="R10" s="46">
        <v>0</v>
      </c>
      <c r="S10" s="46">
        <v>0</v>
      </c>
      <c r="T10" s="48">
        <f t="shared" si="0"/>
        <v>118</v>
      </c>
      <c r="U10" s="48">
        <f t="shared" si="2"/>
        <v>38</v>
      </c>
      <c r="V10" s="46">
        <f t="shared" si="1"/>
        <v>860</v>
      </c>
      <c r="W10" s="42"/>
      <c r="X10" s="47"/>
      <c r="Y10" s="47"/>
      <c r="Z10" s="47"/>
      <c r="AA10" s="47"/>
      <c r="AB10" s="47"/>
    </row>
    <row r="11" spans="1:28" ht="30.75" customHeight="1" x14ac:dyDescent="0.25">
      <c r="A11" s="45">
        <v>45542</v>
      </c>
      <c r="B11" s="46">
        <v>5</v>
      </c>
      <c r="C11" s="46">
        <v>5</v>
      </c>
      <c r="D11" s="46">
        <v>10</v>
      </c>
      <c r="E11" s="46">
        <v>10</v>
      </c>
      <c r="F11" s="46">
        <v>5</v>
      </c>
      <c r="G11" s="46">
        <v>5</v>
      </c>
      <c r="H11" s="46">
        <v>0</v>
      </c>
      <c r="I11" s="46">
        <v>0</v>
      </c>
      <c r="J11" s="46">
        <v>0</v>
      </c>
      <c r="K11" s="46">
        <v>0</v>
      </c>
      <c r="L11" s="46">
        <v>10</v>
      </c>
      <c r="M11" s="46">
        <v>30</v>
      </c>
      <c r="N11" s="46">
        <v>0</v>
      </c>
      <c r="O11" s="46">
        <v>0</v>
      </c>
      <c r="P11" s="59">
        <v>0</v>
      </c>
      <c r="Q11" s="60"/>
      <c r="R11" s="46">
        <v>0</v>
      </c>
      <c r="S11" s="46">
        <v>0</v>
      </c>
      <c r="T11" s="48">
        <f t="shared" si="0"/>
        <v>20</v>
      </c>
      <c r="U11" s="48">
        <f t="shared" si="2"/>
        <v>20</v>
      </c>
      <c r="V11" s="46">
        <f t="shared" si="1"/>
        <v>900</v>
      </c>
      <c r="W11" s="42"/>
      <c r="X11" s="47"/>
      <c r="Y11" s="47"/>
      <c r="Z11" s="47"/>
      <c r="AA11" s="47"/>
      <c r="AB11" s="47"/>
    </row>
    <row r="12" spans="1:28" ht="15" customHeight="1" x14ac:dyDescent="0.25">
      <c r="A12" s="45">
        <v>45543</v>
      </c>
      <c r="B12" s="46">
        <v>5</v>
      </c>
      <c r="C12" s="46">
        <v>5</v>
      </c>
      <c r="D12" s="46">
        <v>10</v>
      </c>
      <c r="E12" s="46">
        <v>10</v>
      </c>
      <c r="F12" s="46">
        <v>5</v>
      </c>
      <c r="G12" s="46">
        <v>5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59">
        <v>0</v>
      </c>
      <c r="Q12" s="60"/>
      <c r="R12" s="46">
        <v>0</v>
      </c>
      <c r="S12" s="46">
        <v>0</v>
      </c>
      <c r="T12" s="48">
        <f t="shared" si="0"/>
        <v>20</v>
      </c>
      <c r="U12" s="48">
        <f t="shared" si="2"/>
        <v>20</v>
      </c>
      <c r="V12" s="46">
        <f t="shared" si="1"/>
        <v>940</v>
      </c>
      <c r="W12" s="42"/>
      <c r="X12" s="47"/>
      <c r="Y12" s="47"/>
      <c r="Z12" s="47"/>
      <c r="AA12" s="47"/>
      <c r="AB12" s="47"/>
    </row>
    <row r="13" spans="1:28" ht="15" customHeight="1" x14ac:dyDescent="0.25">
      <c r="A13" s="45">
        <v>45544</v>
      </c>
      <c r="B13" s="46">
        <v>5</v>
      </c>
      <c r="C13" s="46">
        <v>5</v>
      </c>
      <c r="D13" s="46">
        <v>0</v>
      </c>
      <c r="E13" s="46">
        <v>0</v>
      </c>
      <c r="F13" s="46">
        <v>0</v>
      </c>
      <c r="G13" s="46">
        <v>0</v>
      </c>
      <c r="H13" s="46">
        <v>45</v>
      </c>
      <c r="I13" s="46">
        <v>100</v>
      </c>
      <c r="J13" s="46">
        <v>0</v>
      </c>
      <c r="K13" s="46">
        <v>0</v>
      </c>
      <c r="L13" s="46">
        <v>10</v>
      </c>
      <c r="M13" s="46">
        <v>0</v>
      </c>
      <c r="N13" s="46">
        <v>0</v>
      </c>
      <c r="O13" s="46">
        <v>0</v>
      </c>
      <c r="P13" s="59">
        <v>0</v>
      </c>
      <c r="Q13" s="60"/>
      <c r="R13" s="46">
        <v>0</v>
      </c>
      <c r="S13" s="46">
        <v>0</v>
      </c>
      <c r="T13" s="48">
        <f t="shared" si="0"/>
        <v>50</v>
      </c>
      <c r="U13" s="48">
        <f t="shared" si="2"/>
        <v>105</v>
      </c>
      <c r="V13" s="46">
        <f t="shared" si="1"/>
        <v>1095</v>
      </c>
      <c r="W13" s="42"/>
      <c r="X13" s="47"/>
      <c r="Y13" s="47"/>
      <c r="Z13" s="47"/>
      <c r="AA13" s="47"/>
      <c r="AB13" s="47"/>
    </row>
    <row r="14" spans="1:28" ht="15" customHeight="1" x14ac:dyDescent="0.25">
      <c r="A14" s="45">
        <v>45545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45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59">
        <v>0</v>
      </c>
      <c r="Q14" s="60"/>
      <c r="R14" s="46">
        <v>260</v>
      </c>
      <c r="S14" s="46">
        <v>0</v>
      </c>
      <c r="T14" s="48">
        <f t="shared" si="0"/>
        <v>305</v>
      </c>
      <c r="U14" s="48">
        <f t="shared" si="2"/>
        <v>0</v>
      </c>
      <c r="V14" s="46">
        <f t="shared" si="1"/>
        <v>1400</v>
      </c>
      <c r="W14" s="42"/>
      <c r="X14" s="47"/>
      <c r="Y14" s="47"/>
      <c r="Z14" s="47"/>
      <c r="AA14" s="47"/>
      <c r="AB14" s="47"/>
    </row>
    <row r="15" spans="1:28" ht="15" customHeight="1" x14ac:dyDescent="0.25">
      <c r="A15" s="45">
        <v>45546</v>
      </c>
      <c r="B15" s="46">
        <v>0</v>
      </c>
      <c r="C15" s="46">
        <v>0</v>
      </c>
      <c r="D15" s="46">
        <v>0</v>
      </c>
      <c r="E15" s="46">
        <v>0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59">
        <v>0</v>
      </c>
      <c r="Q15" s="60"/>
      <c r="R15" s="46">
        <v>0</v>
      </c>
      <c r="S15" s="46">
        <v>0</v>
      </c>
      <c r="T15" s="48">
        <f t="shared" si="0"/>
        <v>0</v>
      </c>
      <c r="U15" s="48">
        <f t="shared" si="2"/>
        <v>0</v>
      </c>
      <c r="V15" s="46">
        <f t="shared" si="1"/>
        <v>1400</v>
      </c>
      <c r="W15" s="42"/>
      <c r="X15" s="47"/>
      <c r="Y15" s="47"/>
      <c r="Z15" s="47"/>
      <c r="AA15" s="47"/>
      <c r="AB15" s="47"/>
    </row>
    <row r="16" spans="1:28" ht="15" customHeight="1" x14ac:dyDescent="0.25">
      <c r="A16" s="45">
        <v>45547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59">
        <v>0</v>
      </c>
      <c r="Q16" s="60"/>
      <c r="R16" s="46">
        <v>0</v>
      </c>
      <c r="S16" s="46">
        <v>0</v>
      </c>
      <c r="T16" s="48">
        <f t="shared" si="0"/>
        <v>0</v>
      </c>
      <c r="U16" s="48">
        <f t="shared" si="2"/>
        <v>0</v>
      </c>
      <c r="V16" s="46">
        <f t="shared" si="1"/>
        <v>1400</v>
      </c>
      <c r="W16" s="42"/>
      <c r="X16" s="47"/>
      <c r="Y16" s="47"/>
      <c r="Z16" s="47"/>
      <c r="AA16" s="47"/>
      <c r="AB16" s="47"/>
    </row>
    <row r="17" spans="1:28" ht="15" customHeight="1" x14ac:dyDescent="0.25">
      <c r="A17" s="45">
        <v>45548</v>
      </c>
      <c r="B17" s="46">
        <v>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10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59">
        <v>0</v>
      </c>
      <c r="Q17" s="60"/>
      <c r="R17" s="46">
        <v>348</v>
      </c>
      <c r="S17" s="46">
        <v>0</v>
      </c>
      <c r="T17" s="48">
        <f t="shared" si="0"/>
        <v>358</v>
      </c>
      <c r="U17" s="48">
        <f t="shared" si="2"/>
        <v>0</v>
      </c>
      <c r="V17" s="46">
        <f t="shared" si="1"/>
        <v>1758</v>
      </c>
      <c r="W17" s="42"/>
      <c r="X17" s="47"/>
      <c r="Y17" s="47"/>
      <c r="Z17" s="47"/>
      <c r="AA17" s="47"/>
      <c r="AB17" s="47"/>
    </row>
    <row r="18" spans="1:28" ht="15" customHeight="1" x14ac:dyDescent="0.25">
      <c r="A18" s="45">
        <v>45549</v>
      </c>
      <c r="B18" s="46">
        <v>5</v>
      </c>
      <c r="C18" s="46">
        <v>5</v>
      </c>
      <c r="D18" s="46">
        <v>0</v>
      </c>
      <c r="E18" s="46">
        <v>0</v>
      </c>
      <c r="F18" s="46">
        <v>0</v>
      </c>
      <c r="G18" s="46">
        <v>0</v>
      </c>
      <c r="H18" s="46">
        <v>50</v>
      </c>
      <c r="I18" s="46">
        <v>30</v>
      </c>
      <c r="J18" s="46">
        <v>40</v>
      </c>
      <c r="K18" s="46">
        <v>100</v>
      </c>
      <c r="L18" s="46">
        <v>10</v>
      </c>
      <c r="M18" s="46">
        <v>0</v>
      </c>
      <c r="N18" s="46">
        <v>70</v>
      </c>
      <c r="O18" s="46">
        <v>70</v>
      </c>
      <c r="P18" s="59">
        <v>140</v>
      </c>
      <c r="Q18" s="60"/>
      <c r="R18" s="46">
        <v>0</v>
      </c>
      <c r="S18" s="46">
        <v>0</v>
      </c>
      <c r="T18" s="48">
        <f t="shared" si="0"/>
        <v>165</v>
      </c>
      <c r="U18" s="48">
        <f t="shared" si="2"/>
        <v>205</v>
      </c>
      <c r="V18" s="46">
        <f t="shared" si="1"/>
        <v>2128</v>
      </c>
      <c r="W18" s="42"/>
      <c r="X18" s="47"/>
      <c r="Y18" s="47"/>
      <c r="Z18" s="47"/>
      <c r="AA18" s="47"/>
      <c r="AB18" s="47"/>
    </row>
    <row r="19" spans="1:28" ht="15" customHeight="1" x14ac:dyDescent="0.25">
      <c r="A19" s="45">
        <v>45550</v>
      </c>
      <c r="B19" s="46">
        <v>5</v>
      </c>
      <c r="C19" s="46">
        <v>5</v>
      </c>
      <c r="D19" s="46">
        <v>0</v>
      </c>
      <c r="E19" s="46">
        <v>0</v>
      </c>
      <c r="F19" s="46">
        <v>0</v>
      </c>
      <c r="G19" s="46">
        <v>0</v>
      </c>
      <c r="H19" s="46">
        <v>110</v>
      </c>
      <c r="I19" s="46">
        <v>160</v>
      </c>
      <c r="J19" s="46">
        <v>0</v>
      </c>
      <c r="K19" s="46">
        <v>0</v>
      </c>
      <c r="L19" s="46">
        <v>10</v>
      </c>
      <c r="M19" s="46">
        <v>0</v>
      </c>
      <c r="N19" s="46">
        <v>40</v>
      </c>
      <c r="O19" s="46">
        <v>0</v>
      </c>
      <c r="P19" s="59">
        <v>0</v>
      </c>
      <c r="Q19" s="60"/>
      <c r="R19" s="46">
        <v>0</v>
      </c>
      <c r="S19" s="46">
        <v>0</v>
      </c>
      <c r="T19" s="48">
        <f t="shared" si="0"/>
        <v>155</v>
      </c>
      <c r="U19" s="48">
        <f t="shared" si="2"/>
        <v>165</v>
      </c>
      <c r="V19" s="46">
        <f t="shared" si="1"/>
        <v>2448</v>
      </c>
      <c r="W19" s="42"/>
      <c r="X19" s="47"/>
      <c r="Y19" s="47"/>
      <c r="Z19" s="47"/>
      <c r="AA19" s="47"/>
      <c r="AB19" s="47"/>
    </row>
    <row r="20" spans="1:28" ht="15" customHeight="1" x14ac:dyDescent="0.25">
      <c r="A20" s="45">
        <v>45551</v>
      </c>
      <c r="B20" s="46">
        <v>10</v>
      </c>
      <c r="C20" s="46">
        <v>10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20</v>
      </c>
      <c r="M20" s="46">
        <v>0</v>
      </c>
      <c r="N20" s="46">
        <v>0</v>
      </c>
      <c r="O20" s="46">
        <v>0</v>
      </c>
      <c r="P20" s="59">
        <v>0</v>
      </c>
      <c r="Q20" s="60"/>
      <c r="R20" s="46">
        <v>0</v>
      </c>
      <c r="S20" s="46">
        <v>0</v>
      </c>
      <c r="T20" s="48">
        <f t="shared" si="0"/>
        <v>10</v>
      </c>
      <c r="U20" s="48">
        <f t="shared" si="2"/>
        <v>10</v>
      </c>
      <c r="V20" s="46">
        <f t="shared" si="1"/>
        <v>2468</v>
      </c>
      <c r="W20" s="42"/>
      <c r="X20" s="47"/>
      <c r="Y20" s="47"/>
      <c r="Z20" s="47"/>
      <c r="AA20" s="47"/>
      <c r="AB20" s="47"/>
    </row>
    <row r="21" spans="1:28" ht="15" customHeight="1" x14ac:dyDescent="0.25">
      <c r="A21" s="45">
        <v>45552</v>
      </c>
      <c r="B21" s="46">
        <v>5</v>
      </c>
      <c r="C21" s="46">
        <v>5</v>
      </c>
      <c r="D21" s="46">
        <v>0</v>
      </c>
      <c r="E21" s="46">
        <v>0</v>
      </c>
      <c r="F21" s="46">
        <v>0</v>
      </c>
      <c r="G21" s="46">
        <v>0</v>
      </c>
      <c r="H21" s="46">
        <v>40</v>
      </c>
      <c r="I21" s="46">
        <v>45</v>
      </c>
      <c r="J21" s="46" t="s">
        <v>132</v>
      </c>
      <c r="K21" s="46">
        <v>0</v>
      </c>
      <c r="L21" s="46">
        <v>10</v>
      </c>
      <c r="M21" s="46">
        <v>0</v>
      </c>
      <c r="N21" s="46">
        <v>75</v>
      </c>
      <c r="O21" s="46">
        <v>75</v>
      </c>
      <c r="P21" s="59">
        <v>150</v>
      </c>
      <c r="Q21" s="60"/>
      <c r="R21" s="46">
        <v>0</v>
      </c>
      <c r="S21" s="46">
        <v>0</v>
      </c>
      <c r="T21" s="48">
        <f>+B21+D21+F21+H21+N21</f>
        <v>120</v>
      </c>
      <c r="U21" s="48">
        <f t="shared" si="2"/>
        <v>125</v>
      </c>
      <c r="V21" s="46">
        <f t="shared" si="1"/>
        <v>2713</v>
      </c>
      <c r="W21" s="42"/>
      <c r="X21" s="47"/>
      <c r="Y21" s="47"/>
      <c r="Z21" s="47"/>
      <c r="AA21" s="47"/>
      <c r="AB21" s="47"/>
    </row>
    <row r="22" spans="1:28" ht="15" customHeight="1" x14ac:dyDescent="0.25">
      <c r="A22" s="45">
        <v>45553</v>
      </c>
      <c r="B22" s="46">
        <v>5</v>
      </c>
      <c r="C22" s="46">
        <v>5</v>
      </c>
      <c r="D22" s="46">
        <v>0</v>
      </c>
      <c r="E22" s="46">
        <v>0</v>
      </c>
      <c r="F22" s="46">
        <v>0</v>
      </c>
      <c r="G22" s="46">
        <v>0</v>
      </c>
      <c r="H22" s="46">
        <v>30</v>
      </c>
      <c r="I22" s="46">
        <v>45</v>
      </c>
      <c r="J22" s="46">
        <v>0</v>
      </c>
      <c r="K22" s="46">
        <v>0</v>
      </c>
      <c r="L22" s="46">
        <v>10</v>
      </c>
      <c r="M22" s="46">
        <v>0</v>
      </c>
      <c r="N22" s="46">
        <v>0</v>
      </c>
      <c r="O22" s="46">
        <v>0</v>
      </c>
      <c r="P22" s="59">
        <v>0</v>
      </c>
      <c r="Q22" s="60"/>
      <c r="R22" s="46">
        <v>0</v>
      </c>
      <c r="S22" s="46">
        <v>0</v>
      </c>
      <c r="T22" s="48">
        <f t="shared" si="0"/>
        <v>35</v>
      </c>
      <c r="U22" s="48">
        <f t="shared" si="2"/>
        <v>50</v>
      </c>
      <c r="V22" s="46">
        <f t="shared" si="1"/>
        <v>2798</v>
      </c>
      <c r="W22" s="42"/>
      <c r="X22" s="47"/>
      <c r="Y22" s="47"/>
      <c r="Z22" s="47"/>
      <c r="AA22" s="47"/>
      <c r="AB22" s="47"/>
    </row>
    <row r="23" spans="1:28" ht="15" customHeight="1" x14ac:dyDescent="0.25">
      <c r="A23" s="45">
        <v>45554</v>
      </c>
      <c r="B23" s="46">
        <v>5</v>
      </c>
      <c r="C23" s="46">
        <v>5</v>
      </c>
      <c r="D23" s="46">
        <v>0</v>
      </c>
      <c r="E23" s="46">
        <v>0</v>
      </c>
      <c r="F23" s="46">
        <v>0</v>
      </c>
      <c r="G23" s="46">
        <v>0</v>
      </c>
      <c r="H23" s="46">
        <v>45</v>
      </c>
      <c r="I23" s="46">
        <v>350</v>
      </c>
      <c r="J23" s="46">
        <v>10</v>
      </c>
      <c r="K23" s="46">
        <v>10</v>
      </c>
      <c r="L23" s="46">
        <v>10</v>
      </c>
      <c r="M23" s="46">
        <v>0</v>
      </c>
      <c r="N23" s="46">
        <v>0</v>
      </c>
      <c r="O23" s="46">
        <v>0</v>
      </c>
      <c r="P23" s="59">
        <v>20</v>
      </c>
      <c r="Q23" s="60"/>
      <c r="R23" s="46">
        <v>0</v>
      </c>
      <c r="S23" s="46">
        <v>0</v>
      </c>
      <c r="T23" s="48">
        <f t="shared" si="0"/>
        <v>60</v>
      </c>
      <c r="U23" s="48">
        <f t="shared" si="2"/>
        <v>365</v>
      </c>
      <c r="V23" s="46">
        <f t="shared" si="1"/>
        <v>3223</v>
      </c>
      <c r="W23" s="42"/>
      <c r="X23" s="47"/>
      <c r="Y23" s="47"/>
      <c r="Z23" s="47"/>
      <c r="AA23" s="47"/>
      <c r="AB23" s="47"/>
    </row>
    <row r="24" spans="1:28" ht="15" customHeight="1" x14ac:dyDescent="0.25">
      <c r="A24" s="45">
        <v>45555</v>
      </c>
      <c r="B24" s="46">
        <v>16</v>
      </c>
      <c r="C24" s="46">
        <v>16</v>
      </c>
      <c r="D24" s="46">
        <v>0</v>
      </c>
      <c r="E24" s="46">
        <v>0</v>
      </c>
      <c r="F24" s="46">
        <v>0</v>
      </c>
      <c r="G24" s="46">
        <v>0</v>
      </c>
      <c r="H24" s="46">
        <v>160</v>
      </c>
      <c r="I24" s="46">
        <v>150</v>
      </c>
      <c r="J24" s="46">
        <v>0</v>
      </c>
      <c r="K24" s="46">
        <v>0</v>
      </c>
      <c r="L24" s="46">
        <v>32</v>
      </c>
      <c r="M24" s="46">
        <v>0</v>
      </c>
      <c r="N24" s="46">
        <v>0</v>
      </c>
      <c r="O24" s="46">
        <v>0</v>
      </c>
      <c r="P24" s="59">
        <v>0</v>
      </c>
      <c r="Q24" s="60"/>
      <c r="R24" s="46">
        <v>0</v>
      </c>
      <c r="S24" s="46">
        <v>0</v>
      </c>
      <c r="T24" s="48">
        <f t="shared" si="0"/>
        <v>176</v>
      </c>
      <c r="U24" s="48">
        <f t="shared" si="2"/>
        <v>166</v>
      </c>
      <c r="V24" s="46">
        <f t="shared" si="1"/>
        <v>3565</v>
      </c>
      <c r="W24" s="42"/>
      <c r="X24" s="47"/>
      <c r="Y24" s="47"/>
      <c r="Z24" s="47"/>
      <c r="AA24" s="47"/>
      <c r="AB24" s="47"/>
    </row>
    <row r="25" spans="1:28" ht="15" customHeight="1" x14ac:dyDescent="0.25">
      <c r="A25" s="45">
        <v>45556</v>
      </c>
      <c r="B25" s="46">
        <v>6</v>
      </c>
      <c r="C25" s="46">
        <v>6</v>
      </c>
      <c r="D25" s="46">
        <v>0</v>
      </c>
      <c r="E25" s="46">
        <v>0</v>
      </c>
      <c r="F25" s="46">
        <v>0</v>
      </c>
      <c r="G25" s="46">
        <v>0</v>
      </c>
      <c r="H25" s="46">
        <v>150</v>
      </c>
      <c r="I25" s="46">
        <v>130</v>
      </c>
      <c r="J25" s="46">
        <v>0</v>
      </c>
      <c r="K25" s="46">
        <v>0</v>
      </c>
      <c r="L25" s="46">
        <v>10</v>
      </c>
      <c r="M25" s="46">
        <v>0</v>
      </c>
      <c r="N25" s="46">
        <v>0</v>
      </c>
      <c r="O25" s="46">
        <v>0</v>
      </c>
      <c r="P25" s="59">
        <v>0</v>
      </c>
      <c r="Q25" s="60"/>
      <c r="R25" s="46">
        <v>0</v>
      </c>
      <c r="S25" s="46">
        <v>0</v>
      </c>
      <c r="T25" s="48">
        <f t="shared" si="0"/>
        <v>156</v>
      </c>
      <c r="U25" s="48">
        <f t="shared" si="2"/>
        <v>136</v>
      </c>
      <c r="V25" s="46">
        <f t="shared" si="1"/>
        <v>3857</v>
      </c>
      <c r="W25" s="42"/>
      <c r="X25" s="47"/>
      <c r="Y25" s="47"/>
      <c r="Z25" s="47"/>
      <c r="AA25" s="47"/>
      <c r="AB25" s="47"/>
    </row>
    <row r="26" spans="1:28" ht="15" customHeight="1" x14ac:dyDescent="0.25">
      <c r="A26" s="45">
        <v>45557</v>
      </c>
      <c r="B26" s="46">
        <v>5</v>
      </c>
      <c r="C26" s="46">
        <v>5</v>
      </c>
      <c r="D26" s="46">
        <v>0</v>
      </c>
      <c r="E26" s="46">
        <v>0</v>
      </c>
      <c r="F26" s="46">
        <v>0</v>
      </c>
      <c r="G26" s="46">
        <v>0</v>
      </c>
      <c r="H26" s="46">
        <v>80</v>
      </c>
      <c r="I26" s="46">
        <v>80</v>
      </c>
      <c r="J26" s="46">
        <v>0</v>
      </c>
      <c r="K26" s="46">
        <v>0</v>
      </c>
      <c r="L26" s="46">
        <v>10</v>
      </c>
      <c r="M26" s="46">
        <v>0</v>
      </c>
      <c r="N26" s="46">
        <v>0</v>
      </c>
      <c r="O26" s="46">
        <v>0</v>
      </c>
      <c r="P26" s="59">
        <v>0</v>
      </c>
      <c r="Q26" s="60"/>
      <c r="R26" s="46">
        <v>0</v>
      </c>
      <c r="S26" s="46">
        <v>0</v>
      </c>
      <c r="T26" s="48">
        <f t="shared" si="0"/>
        <v>85</v>
      </c>
      <c r="U26" s="48">
        <f t="shared" si="2"/>
        <v>85</v>
      </c>
      <c r="V26" s="46">
        <f t="shared" si="1"/>
        <v>4027</v>
      </c>
      <c r="W26" s="42"/>
      <c r="X26" s="47"/>
      <c r="Y26" s="47"/>
      <c r="Z26" s="47"/>
      <c r="AA26" s="47"/>
      <c r="AB26" s="47"/>
    </row>
    <row r="27" spans="1:28" ht="15" customHeight="1" x14ac:dyDescent="0.25">
      <c r="A27" s="45">
        <v>45558</v>
      </c>
      <c r="B27" s="46">
        <v>5</v>
      </c>
      <c r="C27" s="46">
        <v>5</v>
      </c>
      <c r="D27" s="46">
        <v>0</v>
      </c>
      <c r="E27" s="46">
        <v>0</v>
      </c>
      <c r="F27" s="46">
        <v>0</v>
      </c>
      <c r="G27" s="46">
        <v>0</v>
      </c>
      <c r="H27" s="46">
        <v>40</v>
      </c>
      <c r="I27" s="46">
        <v>40</v>
      </c>
      <c r="J27" s="46">
        <v>9</v>
      </c>
      <c r="K27" s="46">
        <v>9</v>
      </c>
      <c r="L27" s="46">
        <v>10</v>
      </c>
      <c r="M27" s="46">
        <v>0</v>
      </c>
      <c r="N27" s="46">
        <v>80</v>
      </c>
      <c r="O27" s="46">
        <v>0</v>
      </c>
      <c r="P27" s="59">
        <v>18</v>
      </c>
      <c r="Q27" s="60"/>
      <c r="R27" s="46">
        <v>0</v>
      </c>
      <c r="S27" s="46">
        <v>0</v>
      </c>
      <c r="T27" s="48">
        <f t="shared" si="0"/>
        <v>134</v>
      </c>
      <c r="U27" s="48">
        <f t="shared" si="2"/>
        <v>54</v>
      </c>
      <c r="V27" s="46">
        <f t="shared" si="1"/>
        <v>4215</v>
      </c>
      <c r="W27" s="42"/>
      <c r="X27" s="47"/>
      <c r="Y27" s="47"/>
      <c r="Z27" s="47"/>
      <c r="AA27" s="47"/>
      <c r="AB27" s="47"/>
    </row>
    <row r="28" spans="1:28" ht="15" customHeight="1" x14ac:dyDescent="0.25">
      <c r="A28" s="45">
        <v>45559</v>
      </c>
      <c r="B28" s="46">
        <v>5</v>
      </c>
      <c r="C28" s="46">
        <v>5</v>
      </c>
      <c r="D28" s="46">
        <v>0</v>
      </c>
      <c r="E28" s="46">
        <v>0</v>
      </c>
      <c r="F28" s="46">
        <v>0</v>
      </c>
      <c r="G28" s="46">
        <v>0</v>
      </c>
      <c r="H28" s="46">
        <v>80</v>
      </c>
      <c r="I28" s="46">
        <v>80</v>
      </c>
      <c r="J28" s="46">
        <v>0</v>
      </c>
      <c r="K28" s="46">
        <v>0</v>
      </c>
      <c r="L28" s="46">
        <v>10</v>
      </c>
      <c r="M28" s="46">
        <v>0</v>
      </c>
      <c r="N28" s="46">
        <v>0</v>
      </c>
      <c r="O28" s="46">
        <v>0</v>
      </c>
      <c r="P28" s="59">
        <v>0</v>
      </c>
      <c r="Q28" s="60"/>
      <c r="R28" s="46">
        <v>0</v>
      </c>
      <c r="S28" s="46">
        <v>0</v>
      </c>
      <c r="T28" s="48">
        <f t="shared" si="0"/>
        <v>85</v>
      </c>
      <c r="U28" s="48">
        <f t="shared" si="2"/>
        <v>85</v>
      </c>
      <c r="V28" s="46">
        <f t="shared" si="1"/>
        <v>4385</v>
      </c>
      <c r="W28" s="42"/>
      <c r="X28" s="47"/>
      <c r="Y28" s="47"/>
      <c r="Z28" s="47"/>
      <c r="AA28" s="47"/>
      <c r="AB28" s="47"/>
    </row>
    <row r="29" spans="1:28" ht="15" customHeight="1" x14ac:dyDescent="0.25">
      <c r="A29" s="45">
        <v>45560</v>
      </c>
      <c r="B29" s="46">
        <v>5</v>
      </c>
      <c r="C29" s="46">
        <v>5</v>
      </c>
      <c r="D29" s="46">
        <v>0</v>
      </c>
      <c r="E29" s="46">
        <v>0</v>
      </c>
      <c r="F29" s="46">
        <v>0</v>
      </c>
      <c r="G29" s="46">
        <v>0</v>
      </c>
      <c r="H29" s="46">
        <v>80</v>
      </c>
      <c r="I29" s="46">
        <v>80</v>
      </c>
      <c r="J29" s="46">
        <v>0</v>
      </c>
      <c r="K29" s="46">
        <v>0</v>
      </c>
      <c r="L29" s="46">
        <v>10</v>
      </c>
      <c r="M29" s="46">
        <v>0</v>
      </c>
      <c r="N29" s="46">
        <v>0</v>
      </c>
      <c r="O29" s="46">
        <v>0</v>
      </c>
      <c r="P29" s="59">
        <v>0</v>
      </c>
      <c r="Q29" s="60"/>
      <c r="R29" s="46">
        <v>0</v>
      </c>
      <c r="S29" s="46">
        <v>0</v>
      </c>
      <c r="T29" s="48">
        <f t="shared" si="0"/>
        <v>85</v>
      </c>
      <c r="U29" s="48">
        <f t="shared" si="2"/>
        <v>85</v>
      </c>
      <c r="V29" s="46">
        <f t="shared" si="1"/>
        <v>4555</v>
      </c>
      <c r="W29" s="42"/>
      <c r="X29" s="47"/>
      <c r="Y29" s="47"/>
      <c r="Z29" s="47"/>
      <c r="AA29" s="47"/>
      <c r="AB29" s="47"/>
    </row>
    <row r="30" spans="1:28" ht="15" customHeight="1" x14ac:dyDescent="0.25">
      <c r="A30" s="45">
        <v>45561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59">
        <v>0</v>
      </c>
      <c r="Q30" s="60"/>
      <c r="R30" s="46">
        <v>0</v>
      </c>
      <c r="S30" s="46">
        <v>0</v>
      </c>
      <c r="T30" s="48">
        <f t="shared" si="0"/>
        <v>0</v>
      </c>
      <c r="U30" s="48">
        <f t="shared" si="2"/>
        <v>0</v>
      </c>
      <c r="V30" s="46">
        <f t="shared" si="1"/>
        <v>4555</v>
      </c>
      <c r="W30" s="42"/>
      <c r="X30" s="47"/>
      <c r="Y30" s="47"/>
      <c r="Z30" s="47"/>
      <c r="AA30" s="47"/>
      <c r="AB30" s="47"/>
    </row>
    <row r="31" spans="1:28" ht="15" customHeight="1" x14ac:dyDescent="0.25">
      <c r="A31" s="45">
        <v>45562</v>
      </c>
      <c r="B31" s="46">
        <v>0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59">
        <v>0</v>
      </c>
      <c r="Q31" s="60"/>
      <c r="R31" s="46">
        <v>0</v>
      </c>
      <c r="S31" s="46"/>
      <c r="T31" s="48">
        <f t="shared" si="0"/>
        <v>0</v>
      </c>
      <c r="U31" s="48">
        <f t="shared" si="2"/>
        <v>0</v>
      </c>
      <c r="V31" s="46">
        <f t="shared" si="1"/>
        <v>4555</v>
      </c>
      <c r="W31" s="42"/>
      <c r="X31" s="47"/>
      <c r="Y31" s="47"/>
      <c r="Z31" s="47"/>
      <c r="AA31" s="47"/>
      <c r="AB31" s="47"/>
    </row>
    <row r="32" spans="1:28" ht="15" customHeight="1" x14ac:dyDescent="0.25">
      <c r="A32" s="45">
        <v>45563</v>
      </c>
      <c r="B32" s="46">
        <v>0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59">
        <v>0</v>
      </c>
      <c r="Q32" s="60"/>
      <c r="R32" s="46">
        <v>0</v>
      </c>
      <c r="S32" s="46">
        <v>0</v>
      </c>
      <c r="T32" s="48">
        <f t="shared" si="0"/>
        <v>0</v>
      </c>
      <c r="U32" s="48">
        <f t="shared" si="2"/>
        <v>0</v>
      </c>
      <c r="V32" s="46">
        <f t="shared" si="1"/>
        <v>4555</v>
      </c>
      <c r="W32" s="42"/>
      <c r="X32" s="47"/>
      <c r="Y32" s="47"/>
      <c r="Z32" s="47"/>
      <c r="AA32" s="47"/>
      <c r="AB32" s="47"/>
    </row>
    <row r="33" spans="1:28" ht="15" customHeight="1" x14ac:dyDescent="0.25">
      <c r="A33" s="45">
        <v>45564</v>
      </c>
      <c r="B33" s="46">
        <v>0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59">
        <v>0</v>
      </c>
      <c r="Q33" s="60"/>
      <c r="R33" s="46">
        <v>0</v>
      </c>
      <c r="S33" s="46">
        <v>0</v>
      </c>
      <c r="T33" s="48">
        <f t="shared" si="0"/>
        <v>0</v>
      </c>
      <c r="U33" s="48">
        <f t="shared" si="2"/>
        <v>0</v>
      </c>
      <c r="V33" s="46">
        <f t="shared" si="1"/>
        <v>4555</v>
      </c>
      <c r="W33" s="42"/>
      <c r="X33" s="47"/>
      <c r="Y33" s="47"/>
      <c r="Z33" s="47"/>
      <c r="AA33" s="47"/>
      <c r="AB33" s="47"/>
    </row>
    <row r="34" spans="1:28" ht="15" customHeight="1" x14ac:dyDescent="0.25">
      <c r="A34" s="45">
        <v>45565</v>
      </c>
      <c r="B34" s="46">
        <v>0</v>
      </c>
      <c r="C34" s="46">
        <v>0</v>
      </c>
      <c r="D34" s="46">
        <v>0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59">
        <v>0</v>
      </c>
      <c r="Q34" s="60"/>
      <c r="R34" s="46">
        <v>0</v>
      </c>
      <c r="S34" s="46">
        <v>0</v>
      </c>
      <c r="T34" s="48">
        <f t="shared" si="0"/>
        <v>0</v>
      </c>
      <c r="U34" s="48">
        <f t="shared" si="2"/>
        <v>0</v>
      </c>
      <c r="V34" s="46">
        <f t="shared" si="1"/>
        <v>4555</v>
      </c>
      <c r="W34" s="44"/>
      <c r="X34" s="47"/>
      <c r="Y34" s="47"/>
      <c r="Z34" s="47"/>
      <c r="AA34" s="47"/>
      <c r="AB34" s="47"/>
    </row>
    <row r="35" spans="1:28" ht="18.75" x14ac:dyDescent="0.25">
      <c r="A35" s="45"/>
      <c r="B35" s="46">
        <v>0</v>
      </c>
      <c r="C35" s="46">
        <v>0</v>
      </c>
      <c r="D35" s="46">
        <v>0</v>
      </c>
      <c r="E35" s="54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46">
        <v>0</v>
      </c>
      <c r="P35" s="59">
        <v>0</v>
      </c>
      <c r="Q35" s="60"/>
      <c r="R35" s="46">
        <v>0</v>
      </c>
      <c r="S35" s="46">
        <v>0</v>
      </c>
      <c r="T35" s="48">
        <f t="shared" si="0"/>
        <v>0</v>
      </c>
      <c r="U35" s="48">
        <f t="shared" si="2"/>
        <v>0</v>
      </c>
      <c r="V35" s="46">
        <f t="shared" si="1"/>
        <v>4555</v>
      </c>
      <c r="W35" s="52">
        <f>+V35</f>
        <v>4555</v>
      </c>
      <c r="X35" s="47"/>
      <c r="Y35" s="47"/>
      <c r="Z35" s="47"/>
      <c r="AA35" s="47"/>
      <c r="AB35" s="47"/>
    </row>
    <row r="36" spans="1:28" ht="15.75" x14ac:dyDescent="0.25">
      <c r="B36" s="50">
        <f>SUM(B5:B34)</f>
        <v>142</v>
      </c>
      <c r="C36" s="51">
        <f t="shared" ref="C36:S36" si="3">SUM(C5:C34)</f>
        <v>122</v>
      </c>
      <c r="D36" s="51">
        <f t="shared" si="3"/>
        <v>48</v>
      </c>
      <c r="E36" s="51">
        <f>SUM(E5:E35)</f>
        <v>48</v>
      </c>
      <c r="F36" s="51">
        <f t="shared" si="3"/>
        <v>25</v>
      </c>
      <c r="G36" s="51">
        <f t="shared" si="3"/>
        <v>25</v>
      </c>
      <c r="H36" s="51">
        <f t="shared" si="3"/>
        <v>1155</v>
      </c>
      <c r="I36" s="51">
        <f t="shared" si="3"/>
        <v>1350</v>
      </c>
      <c r="J36" s="51">
        <f>SUM(J5:J35)</f>
        <v>204</v>
      </c>
      <c r="K36" s="51">
        <f t="shared" si="3"/>
        <v>209</v>
      </c>
      <c r="L36" s="51">
        <f t="shared" si="3"/>
        <v>232</v>
      </c>
      <c r="M36" s="51">
        <f t="shared" si="3"/>
        <v>124</v>
      </c>
      <c r="N36" s="51">
        <f>SUM(N5:N35)</f>
        <v>399.5</v>
      </c>
      <c r="O36" s="51">
        <f>SUM(O5:O35)</f>
        <v>219.5</v>
      </c>
      <c r="P36" s="61">
        <f>SUM(P5:P35)</f>
        <v>679</v>
      </c>
      <c r="Q36" s="60"/>
      <c r="R36" s="51">
        <f>SUM(R5:R35)</f>
        <v>608</v>
      </c>
      <c r="S36" s="51">
        <f t="shared" si="3"/>
        <v>0</v>
      </c>
      <c r="T36" s="55">
        <f>SUM(T5:T35)</f>
        <v>2581.5</v>
      </c>
      <c r="U36" s="51">
        <f>SUM(U5:U34)</f>
        <v>1973.5</v>
      </c>
      <c r="V36" s="53"/>
      <c r="W36" s="53" t="s">
        <v>55</v>
      </c>
      <c r="Y36" s="47"/>
      <c r="Z36" s="47"/>
      <c r="AA36" s="47"/>
      <c r="AB36" s="47"/>
    </row>
    <row r="37" spans="1:28" x14ac:dyDescent="0.25">
      <c r="AA37" s="47"/>
      <c r="AB37" s="47"/>
    </row>
    <row r="38" spans="1:28" x14ac:dyDescent="0.25">
      <c r="J38" t="s">
        <v>135</v>
      </c>
      <c r="K38" s="56" t="s">
        <v>133</v>
      </c>
      <c r="L38" s="56">
        <v>221</v>
      </c>
    </row>
    <row r="39" spans="1:28" x14ac:dyDescent="0.25">
      <c r="J39" t="s">
        <v>136</v>
      </c>
      <c r="K39" s="56" t="s">
        <v>134</v>
      </c>
      <c r="L39" s="56">
        <v>256</v>
      </c>
    </row>
    <row r="40" spans="1:28" x14ac:dyDescent="0.25">
      <c r="L40" s="56">
        <v>35</v>
      </c>
    </row>
  </sheetData>
  <mergeCells count="45">
    <mergeCell ref="P3:Q3"/>
    <mergeCell ref="R3:S3"/>
    <mergeCell ref="A1:Z1"/>
    <mergeCell ref="A2:A4"/>
    <mergeCell ref="B2:S2"/>
    <mergeCell ref="B3:C3"/>
    <mergeCell ref="D3:E3"/>
    <mergeCell ref="F3:G3"/>
    <mergeCell ref="H3:I3"/>
    <mergeCell ref="J3:K3"/>
    <mergeCell ref="L3:M3"/>
    <mergeCell ref="N3:O3"/>
    <mergeCell ref="P4:Q4"/>
    <mergeCell ref="P15:Q15"/>
    <mergeCell ref="P16:Q16"/>
    <mergeCell ref="P17:Q17"/>
    <mergeCell ref="P18:Q18"/>
    <mergeCell ref="P19:Q19"/>
    <mergeCell ref="P10:Q10"/>
    <mergeCell ref="P11:Q11"/>
    <mergeCell ref="P12:Q12"/>
    <mergeCell ref="P13:Q13"/>
    <mergeCell ref="P14:Q14"/>
    <mergeCell ref="P5:Q5"/>
    <mergeCell ref="P6:Q6"/>
    <mergeCell ref="P7:Q7"/>
    <mergeCell ref="P8:Q8"/>
    <mergeCell ref="P9:Q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5:Q35"/>
    <mergeCell ref="P36:Q36"/>
    <mergeCell ref="P30:Q30"/>
    <mergeCell ref="P31:Q31"/>
    <mergeCell ref="P32:Q32"/>
    <mergeCell ref="P33:Q33"/>
    <mergeCell ref="P34:Q3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4E39-109C-4FEC-AD4C-5AB0916C2D9E}">
  <dimension ref="A1:Z36"/>
  <sheetViews>
    <sheetView zoomScale="70" zoomScaleNormal="70" workbookViewId="0">
      <selection activeCell="Q45" sqref="Q45"/>
    </sheetView>
  </sheetViews>
  <sheetFormatPr defaultRowHeight="15" x14ac:dyDescent="0.25"/>
  <sheetData>
    <row r="1" spans="1:26" ht="18.75" x14ac:dyDescent="0.25">
      <c r="A1" s="62" t="s">
        <v>129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4"/>
    </row>
    <row r="2" spans="1:26" ht="24.75" x14ac:dyDescent="0.25">
      <c r="A2" s="65" t="s">
        <v>5</v>
      </c>
      <c r="B2" s="68" t="s">
        <v>115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1:26" x14ac:dyDescent="0.25">
      <c r="A3" s="66"/>
      <c r="B3" s="59" t="s">
        <v>124</v>
      </c>
      <c r="C3" s="60"/>
      <c r="D3" s="59" t="s">
        <v>116</v>
      </c>
      <c r="E3" s="60"/>
      <c r="F3" s="59" t="s">
        <v>117</v>
      </c>
      <c r="G3" s="60"/>
      <c r="H3" s="59" t="s">
        <v>118</v>
      </c>
      <c r="I3" s="60"/>
      <c r="J3" s="59" t="s">
        <v>125</v>
      </c>
      <c r="K3" s="60"/>
      <c r="L3" s="59" t="s">
        <v>126</v>
      </c>
      <c r="M3" s="60"/>
      <c r="N3" s="59" t="s">
        <v>127</v>
      </c>
      <c r="O3" s="60"/>
      <c r="P3" s="59" t="s">
        <v>128</v>
      </c>
      <c r="Q3" s="60"/>
      <c r="R3" s="59" t="s">
        <v>119</v>
      </c>
      <c r="S3" s="60"/>
      <c r="T3" s="43" t="s">
        <v>120</v>
      </c>
      <c r="U3" s="43" t="s">
        <v>121</v>
      </c>
      <c r="V3" s="43" t="s">
        <v>122</v>
      </c>
      <c r="W3" s="41"/>
    </row>
    <row r="4" spans="1:26" x14ac:dyDescent="0.25">
      <c r="A4" s="67"/>
      <c r="B4" s="43" t="s">
        <v>79</v>
      </c>
      <c r="C4" s="43" t="s">
        <v>123</v>
      </c>
      <c r="D4" s="43" t="s">
        <v>79</v>
      </c>
      <c r="E4" s="43" t="s">
        <v>123</v>
      </c>
      <c r="F4" s="43" t="s">
        <v>79</v>
      </c>
      <c r="G4" s="43" t="s">
        <v>123</v>
      </c>
      <c r="H4" s="43" t="s">
        <v>79</v>
      </c>
      <c r="I4" s="43" t="s">
        <v>123</v>
      </c>
      <c r="J4" s="43" t="s">
        <v>79</v>
      </c>
      <c r="K4" s="43" t="s">
        <v>123</v>
      </c>
      <c r="L4" s="43" t="s">
        <v>10</v>
      </c>
      <c r="M4" s="43" t="s">
        <v>112</v>
      </c>
      <c r="N4" s="43" t="s">
        <v>79</v>
      </c>
      <c r="O4" s="43" t="s">
        <v>123</v>
      </c>
      <c r="P4" s="59" t="s">
        <v>79</v>
      </c>
      <c r="Q4" s="60"/>
      <c r="R4" s="43" t="s">
        <v>79</v>
      </c>
      <c r="S4" s="43" t="s">
        <v>123</v>
      </c>
      <c r="T4" s="43" t="s">
        <v>79</v>
      </c>
      <c r="U4" s="43" t="s">
        <v>123</v>
      </c>
      <c r="V4" s="43" t="s">
        <v>79</v>
      </c>
      <c r="W4" s="42"/>
    </row>
    <row r="5" spans="1:26" x14ac:dyDescent="0.25">
      <c r="A5" s="45">
        <v>45536</v>
      </c>
      <c r="B5" s="46">
        <v>5</v>
      </c>
      <c r="C5" s="46">
        <v>5</v>
      </c>
      <c r="D5" s="46"/>
      <c r="E5" s="46"/>
      <c r="F5" s="46"/>
      <c r="G5" s="46"/>
      <c r="H5" s="46">
        <v>45</v>
      </c>
      <c r="I5" s="46">
        <v>60</v>
      </c>
      <c r="J5" s="47"/>
      <c r="K5" s="46"/>
      <c r="L5" s="46">
        <v>10</v>
      </c>
      <c r="M5" s="46"/>
      <c r="N5" s="46">
        <v>21.5</v>
      </c>
      <c r="O5" s="46">
        <v>21.5</v>
      </c>
      <c r="P5" s="59">
        <v>43</v>
      </c>
      <c r="Q5" s="60"/>
      <c r="R5" s="46"/>
      <c r="S5" s="46"/>
      <c r="T5" s="48">
        <f>+B5+D5+F5+H5+L5 +N5+J5+R5</f>
        <v>81.5</v>
      </c>
      <c r="U5" s="48">
        <f>+C5+E5+G5+I5+K5+X5+Y10+S5+O5</f>
        <v>86.5</v>
      </c>
      <c r="V5" s="48">
        <f>T5+U5</f>
        <v>168</v>
      </c>
      <c r="W5" s="42"/>
      <c r="Z5" s="47"/>
    </row>
    <row r="6" spans="1:26" x14ac:dyDescent="0.25">
      <c r="A6" s="45">
        <v>45537</v>
      </c>
      <c r="B6" s="46">
        <v>10</v>
      </c>
      <c r="C6" s="46">
        <v>10</v>
      </c>
      <c r="D6" s="46">
        <v>18</v>
      </c>
      <c r="E6" s="46">
        <v>18</v>
      </c>
      <c r="F6" s="46">
        <v>10</v>
      </c>
      <c r="G6" s="46">
        <v>10</v>
      </c>
      <c r="I6" s="46"/>
      <c r="J6" s="46"/>
      <c r="K6" s="46">
        <v>50</v>
      </c>
      <c r="L6" s="46">
        <v>20</v>
      </c>
      <c r="M6" s="46">
        <v>36</v>
      </c>
      <c r="N6" s="46"/>
      <c r="O6" s="46"/>
      <c r="P6" s="59"/>
      <c r="Q6" s="60"/>
      <c r="R6" s="46"/>
      <c r="S6" s="46"/>
      <c r="T6" s="48">
        <f t="shared" ref="T6:T35" si="0">+B6+D6+F6+H6+L6 +N6+J6+R6</f>
        <v>58</v>
      </c>
      <c r="U6" s="48">
        <f>+C6+E6+G6+I6+K6+X6+Y11+S6+O6</f>
        <v>88</v>
      </c>
      <c r="V6" s="46">
        <f>+V5+T6+U6</f>
        <v>314</v>
      </c>
      <c r="W6" s="49"/>
      <c r="X6" s="47"/>
      <c r="Y6" s="47"/>
      <c r="Z6" s="47"/>
    </row>
    <row r="7" spans="1:26" x14ac:dyDescent="0.25">
      <c r="A7" s="45">
        <v>45538</v>
      </c>
      <c r="B7" s="46">
        <v>0</v>
      </c>
      <c r="C7" s="46">
        <v>0</v>
      </c>
      <c r="D7" s="46">
        <v>0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59">
        <v>0</v>
      </c>
      <c r="Q7" s="60"/>
      <c r="R7" s="46">
        <v>0</v>
      </c>
      <c r="S7" s="46">
        <v>0</v>
      </c>
      <c r="T7" s="48">
        <f t="shared" si="0"/>
        <v>0</v>
      </c>
      <c r="U7" s="48">
        <f t="shared" ref="U7:U35" si="1">+C7+E7+G7+I7+K7+X7+Y12+S7+O7</f>
        <v>0</v>
      </c>
      <c r="V7" s="46">
        <f t="shared" ref="V7:V35" si="2">+V6+T7+U7</f>
        <v>314</v>
      </c>
      <c r="W7" s="42"/>
      <c r="X7" s="47"/>
      <c r="Y7" s="47"/>
      <c r="Z7" s="47"/>
    </row>
    <row r="8" spans="1:26" x14ac:dyDescent="0.25">
      <c r="A8" s="45">
        <v>45539</v>
      </c>
      <c r="B8" s="46">
        <v>0</v>
      </c>
      <c r="C8" s="46"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/>
      <c r="O8" s="46"/>
      <c r="P8" s="59"/>
      <c r="Q8" s="60"/>
      <c r="R8" s="46"/>
      <c r="S8" s="46"/>
      <c r="T8" s="48">
        <f t="shared" si="0"/>
        <v>0</v>
      </c>
      <c r="U8" s="48">
        <f t="shared" si="1"/>
        <v>0</v>
      </c>
      <c r="V8" s="46">
        <f t="shared" si="2"/>
        <v>314</v>
      </c>
      <c r="W8" s="42"/>
      <c r="X8" s="47"/>
      <c r="Y8" s="47"/>
      <c r="Z8" s="47"/>
    </row>
    <row r="9" spans="1:26" x14ac:dyDescent="0.25">
      <c r="A9" s="45">
        <v>45540</v>
      </c>
      <c r="B9" s="46">
        <v>0</v>
      </c>
      <c r="C9" s="46"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/>
      <c r="O9" s="46"/>
      <c r="P9" s="59"/>
      <c r="Q9" s="60"/>
      <c r="R9" s="46"/>
      <c r="S9" s="46"/>
      <c r="T9" s="48">
        <f t="shared" si="0"/>
        <v>0</v>
      </c>
      <c r="U9" s="48">
        <f t="shared" si="1"/>
        <v>0</v>
      </c>
      <c r="V9" s="46">
        <f t="shared" si="2"/>
        <v>314</v>
      </c>
      <c r="W9" s="42"/>
      <c r="X9" s="47"/>
      <c r="Y9" s="47"/>
      <c r="Z9" s="47"/>
    </row>
    <row r="10" spans="1:26" x14ac:dyDescent="0.25">
      <c r="A10" s="45">
        <v>45541</v>
      </c>
      <c r="B10" s="46">
        <v>0</v>
      </c>
      <c r="C10" s="46"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/>
      <c r="O10" s="46"/>
      <c r="P10" s="59"/>
      <c r="Q10" s="60"/>
      <c r="R10" s="46"/>
      <c r="S10" s="46"/>
      <c r="T10" s="48">
        <f t="shared" si="0"/>
        <v>0</v>
      </c>
      <c r="U10" s="48">
        <f t="shared" si="1"/>
        <v>0</v>
      </c>
      <c r="V10" s="46">
        <f t="shared" si="2"/>
        <v>314</v>
      </c>
      <c r="W10" s="42"/>
      <c r="X10" s="47"/>
      <c r="Y10" s="47"/>
      <c r="Z10" s="47"/>
    </row>
    <row r="11" spans="1:26" x14ac:dyDescent="0.25">
      <c r="A11" s="45">
        <v>45542</v>
      </c>
      <c r="B11" s="46">
        <v>0</v>
      </c>
      <c r="C11" s="46">
        <v>0</v>
      </c>
      <c r="D11" s="46">
        <v>0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/>
      <c r="O11" s="46"/>
      <c r="P11" s="59"/>
      <c r="Q11" s="60"/>
      <c r="R11" s="46"/>
      <c r="S11" s="46"/>
      <c r="T11" s="48">
        <f t="shared" si="0"/>
        <v>0</v>
      </c>
      <c r="U11" s="48">
        <f t="shared" si="1"/>
        <v>0</v>
      </c>
      <c r="V11" s="46">
        <f t="shared" si="2"/>
        <v>314</v>
      </c>
      <c r="W11" s="42"/>
      <c r="X11" s="47"/>
      <c r="Y11" s="47"/>
      <c r="Z11" s="47"/>
    </row>
    <row r="12" spans="1:26" x14ac:dyDescent="0.25">
      <c r="A12" s="45">
        <v>45543</v>
      </c>
      <c r="B12" s="46">
        <v>0</v>
      </c>
      <c r="C12" s="46">
        <v>0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/>
      <c r="O12" s="46"/>
      <c r="P12" s="59"/>
      <c r="Q12" s="60"/>
      <c r="R12" s="46"/>
      <c r="S12" s="46"/>
      <c r="T12" s="48">
        <f t="shared" si="0"/>
        <v>0</v>
      </c>
      <c r="U12" s="48">
        <f t="shared" si="1"/>
        <v>0</v>
      </c>
      <c r="V12" s="46">
        <f t="shared" si="2"/>
        <v>314</v>
      </c>
      <c r="W12" s="42"/>
      <c r="X12" s="47"/>
      <c r="Y12" s="47"/>
      <c r="Z12" s="47"/>
    </row>
    <row r="13" spans="1:26" x14ac:dyDescent="0.25">
      <c r="A13" s="45">
        <v>45544</v>
      </c>
      <c r="B13" s="46">
        <v>0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/>
      <c r="O13" s="46"/>
      <c r="P13" s="59"/>
      <c r="Q13" s="60"/>
      <c r="R13" s="46"/>
      <c r="S13" s="46"/>
      <c r="T13" s="48">
        <f t="shared" si="0"/>
        <v>0</v>
      </c>
      <c r="U13" s="48">
        <f t="shared" si="1"/>
        <v>0</v>
      </c>
      <c r="V13" s="46">
        <f t="shared" si="2"/>
        <v>314</v>
      </c>
      <c r="W13" s="42"/>
      <c r="X13" s="47"/>
      <c r="Y13" s="47"/>
      <c r="Z13" s="47"/>
    </row>
    <row r="14" spans="1:26" x14ac:dyDescent="0.25">
      <c r="A14" s="45">
        <v>45545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/>
      <c r="O14" s="46"/>
      <c r="P14" s="59"/>
      <c r="Q14" s="60"/>
      <c r="R14" s="46"/>
      <c r="S14" s="46"/>
      <c r="T14" s="48">
        <f t="shared" si="0"/>
        <v>0</v>
      </c>
      <c r="U14" s="48">
        <f t="shared" si="1"/>
        <v>0</v>
      </c>
      <c r="V14" s="46">
        <f t="shared" si="2"/>
        <v>314</v>
      </c>
      <c r="W14" s="42"/>
      <c r="X14" s="47"/>
      <c r="Y14" s="47"/>
      <c r="Z14" s="47"/>
    </row>
    <row r="15" spans="1:26" x14ac:dyDescent="0.25">
      <c r="A15" s="45">
        <v>45546</v>
      </c>
      <c r="B15" s="46">
        <v>0</v>
      </c>
      <c r="C15" s="46">
        <v>0</v>
      </c>
      <c r="D15" s="46">
        <v>0</v>
      </c>
      <c r="E15" s="46">
        <v>0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/>
      <c r="O15" s="46"/>
      <c r="P15" s="59"/>
      <c r="Q15" s="60"/>
      <c r="R15" s="46"/>
      <c r="S15" s="46"/>
      <c r="T15" s="48">
        <f t="shared" si="0"/>
        <v>0</v>
      </c>
      <c r="U15" s="48">
        <f t="shared" si="1"/>
        <v>0</v>
      </c>
      <c r="V15" s="46">
        <f t="shared" si="2"/>
        <v>314</v>
      </c>
      <c r="W15" s="42"/>
      <c r="X15" s="47"/>
      <c r="Y15" s="47"/>
      <c r="Z15" s="47"/>
    </row>
    <row r="16" spans="1:26" x14ac:dyDescent="0.25">
      <c r="A16" s="45">
        <v>45547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/>
      <c r="O16" s="46"/>
      <c r="P16" s="59"/>
      <c r="Q16" s="60"/>
      <c r="R16" s="46"/>
      <c r="S16" s="46"/>
      <c r="T16" s="48">
        <f t="shared" si="0"/>
        <v>0</v>
      </c>
      <c r="U16" s="48">
        <f t="shared" si="1"/>
        <v>0</v>
      </c>
      <c r="V16" s="46">
        <f t="shared" si="2"/>
        <v>314</v>
      </c>
      <c r="W16" s="42"/>
      <c r="X16" s="47"/>
      <c r="Y16" s="47"/>
      <c r="Z16" s="47"/>
    </row>
    <row r="17" spans="1:26" x14ac:dyDescent="0.25">
      <c r="A17" s="45">
        <v>45548</v>
      </c>
      <c r="B17" s="46">
        <v>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/>
      <c r="O17" s="46"/>
      <c r="P17" s="59"/>
      <c r="Q17" s="60"/>
      <c r="R17" s="46"/>
      <c r="S17" s="46"/>
      <c r="T17" s="48">
        <f t="shared" si="0"/>
        <v>0</v>
      </c>
      <c r="U17" s="48">
        <f t="shared" si="1"/>
        <v>0</v>
      </c>
      <c r="V17" s="46">
        <f t="shared" si="2"/>
        <v>314</v>
      </c>
      <c r="W17" s="42"/>
      <c r="X17" s="47"/>
      <c r="Y17" s="47"/>
      <c r="Z17" s="47"/>
    </row>
    <row r="18" spans="1:26" x14ac:dyDescent="0.25">
      <c r="A18" s="45">
        <v>45549</v>
      </c>
      <c r="B18" s="46">
        <v>0</v>
      </c>
      <c r="C18" s="46">
        <v>0</v>
      </c>
      <c r="D18" s="46">
        <v>0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/>
      <c r="O18" s="46"/>
      <c r="P18" s="59"/>
      <c r="Q18" s="60"/>
      <c r="R18" s="46"/>
      <c r="S18" s="46"/>
      <c r="T18" s="48">
        <f t="shared" si="0"/>
        <v>0</v>
      </c>
      <c r="U18" s="48">
        <f t="shared" si="1"/>
        <v>0</v>
      </c>
      <c r="V18" s="46">
        <f t="shared" si="2"/>
        <v>314</v>
      </c>
      <c r="W18" s="42"/>
      <c r="X18" s="47"/>
      <c r="Y18" s="47"/>
      <c r="Z18" s="47"/>
    </row>
    <row r="19" spans="1:26" x14ac:dyDescent="0.25">
      <c r="A19" s="45">
        <v>45550</v>
      </c>
      <c r="B19" s="46">
        <v>0</v>
      </c>
      <c r="C19" s="46">
        <v>0</v>
      </c>
      <c r="D19" s="46">
        <v>0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/>
      <c r="O19" s="46"/>
      <c r="P19" s="59"/>
      <c r="Q19" s="60"/>
      <c r="R19" s="46"/>
      <c r="S19" s="46"/>
      <c r="T19" s="48">
        <f t="shared" si="0"/>
        <v>0</v>
      </c>
      <c r="U19" s="48">
        <f t="shared" si="1"/>
        <v>0</v>
      </c>
      <c r="V19" s="46">
        <f t="shared" si="2"/>
        <v>314</v>
      </c>
      <c r="W19" s="42"/>
      <c r="X19" s="47"/>
      <c r="Y19" s="47"/>
      <c r="Z19" s="47"/>
    </row>
    <row r="20" spans="1:26" x14ac:dyDescent="0.25">
      <c r="A20" s="45">
        <v>45551</v>
      </c>
      <c r="B20" s="46">
        <v>0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/>
      <c r="O20" s="46"/>
      <c r="P20" s="59"/>
      <c r="Q20" s="60"/>
      <c r="R20" s="46"/>
      <c r="S20" s="46"/>
      <c r="T20" s="48">
        <f t="shared" si="0"/>
        <v>0</v>
      </c>
      <c r="U20" s="48">
        <f t="shared" si="1"/>
        <v>0</v>
      </c>
      <c r="V20" s="46">
        <f t="shared" si="2"/>
        <v>314</v>
      </c>
      <c r="W20" s="42"/>
      <c r="X20" s="47"/>
      <c r="Y20" s="47"/>
      <c r="Z20" s="47"/>
    </row>
    <row r="21" spans="1:26" x14ac:dyDescent="0.25">
      <c r="A21" s="45">
        <v>45552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/>
      <c r="O21" s="46"/>
      <c r="P21" s="59"/>
      <c r="Q21" s="60"/>
      <c r="R21" s="46"/>
      <c r="S21" s="46"/>
      <c r="T21" s="48">
        <f t="shared" si="0"/>
        <v>0</v>
      </c>
      <c r="U21" s="48">
        <f t="shared" si="1"/>
        <v>0</v>
      </c>
      <c r="V21" s="46">
        <f t="shared" si="2"/>
        <v>314</v>
      </c>
      <c r="W21" s="42"/>
      <c r="X21" s="47"/>
      <c r="Y21" s="47"/>
      <c r="Z21" s="47"/>
    </row>
    <row r="22" spans="1:26" x14ac:dyDescent="0.25">
      <c r="A22" s="45">
        <v>45553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/>
      <c r="O22" s="46"/>
      <c r="P22" s="59"/>
      <c r="Q22" s="60"/>
      <c r="R22" s="46"/>
      <c r="S22" s="46"/>
      <c r="T22" s="48">
        <f t="shared" si="0"/>
        <v>0</v>
      </c>
      <c r="U22" s="48">
        <f t="shared" si="1"/>
        <v>0</v>
      </c>
      <c r="V22" s="46">
        <f t="shared" si="2"/>
        <v>314</v>
      </c>
      <c r="W22" s="42"/>
      <c r="X22" s="47"/>
      <c r="Y22" s="47"/>
      <c r="Z22" s="47"/>
    </row>
    <row r="23" spans="1:26" x14ac:dyDescent="0.25">
      <c r="A23" s="45">
        <v>45554</v>
      </c>
      <c r="B23" s="46">
        <v>0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/>
      <c r="O23" s="46"/>
      <c r="P23" s="59"/>
      <c r="Q23" s="60"/>
      <c r="R23" s="46"/>
      <c r="S23" s="46"/>
      <c r="T23" s="48">
        <f t="shared" si="0"/>
        <v>0</v>
      </c>
      <c r="U23" s="48">
        <f t="shared" si="1"/>
        <v>0</v>
      </c>
      <c r="V23" s="46">
        <f t="shared" si="2"/>
        <v>314</v>
      </c>
      <c r="W23" s="42"/>
      <c r="X23" s="47"/>
      <c r="Y23" s="47"/>
      <c r="Z23" s="47"/>
    </row>
    <row r="24" spans="1:26" x14ac:dyDescent="0.25">
      <c r="A24" s="45">
        <v>45555</v>
      </c>
      <c r="B24" s="46">
        <v>0</v>
      </c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/>
      <c r="O24" s="46"/>
      <c r="P24" s="59"/>
      <c r="Q24" s="60"/>
      <c r="R24" s="46"/>
      <c r="S24" s="46"/>
      <c r="T24" s="48">
        <f t="shared" si="0"/>
        <v>0</v>
      </c>
      <c r="U24" s="48">
        <f t="shared" si="1"/>
        <v>0</v>
      </c>
      <c r="V24" s="46">
        <f t="shared" si="2"/>
        <v>314</v>
      </c>
      <c r="W24" s="42"/>
      <c r="X24" s="47"/>
      <c r="Y24" s="47"/>
      <c r="Z24" s="47"/>
    </row>
    <row r="25" spans="1:26" x14ac:dyDescent="0.25">
      <c r="A25" s="45">
        <v>45556</v>
      </c>
      <c r="B25" s="46">
        <v>0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/>
      <c r="O25" s="46"/>
      <c r="P25" s="59"/>
      <c r="Q25" s="60"/>
      <c r="R25" s="46"/>
      <c r="S25" s="46"/>
      <c r="T25" s="48">
        <f t="shared" si="0"/>
        <v>0</v>
      </c>
      <c r="U25" s="48">
        <f t="shared" si="1"/>
        <v>0</v>
      </c>
      <c r="V25" s="46">
        <f t="shared" si="2"/>
        <v>314</v>
      </c>
      <c r="W25" s="42"/>
      <c r="X25" s="47"/>
      <c r="Y25" s="47"/>
      <c r="Z25" s="47"/>
    </row>
    <row r="26" spans="1:26" x14ac:dyDescent="0.25">
      <c r="A26" s="45">
        <v>45557</v>
      </c>
      <c r="B26" s="46">
        <v>0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/>
      <c r="O26" s="46"/>
      <c r="P26" s="59"/>
      <c r="Q26" s="60"/>
      <c r="R26" s="46"/>
      <c r="S26" s="46"/>
      <c r="T26" s="48">
        <f t="shared" si="0"/>
        <v>0</v>
      </c>
      <c r="U26" s="48">
        <f t="shared" si="1"/>
        <v>0</v>
      </c>
      <c r="V26" s="46">
        <f t="shared" si="2"/>
        <v>314</v>
      </c>
      <c r="W26" s="42"/>
      <c r="X26" s="47"/>
      <c r="Y26" s="47"/>
      <c r="Z26" s="47"/>
    </row>
    <row r="27" spans="1:26" x14ac:dyDescent="0.25">
      <c r="A27" s="45">
        <v>45558</v>
      </c>
      <c r="B27" s="46">
        <v>0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/>
      <c r="O27" s="46"/>
      <c r="P27" s="59"/>
      <c r="Q27" s="60"/>
      <c r="R27" s="46"/>
      <c r="S27" s="46"/>
      <c r="T27" s="48">
        <f t="shared" si="0"/>
        <v>0</v>
      </c>
      <c r="U27" s="48">
        <f t="shared" si="1"/>
        <v>0</v>
      </c>
      <c r="V27" s="46">
        <f t="shared" si="2"/>
        <v>314</v>
      </c>
      <c r="W27" s="42"/>
      <c r="X27" s="47"/>
      <c r="Y27" s="47"/>
      <c r="Z27" s="47"/>
    </row>
    <row r="28" spans="1:26" x14ac:dyDescent="0.25">
      <c r="A28" s="45">
        <v>45559</v>
      </c>
      <c r="B28" s="46">
        <v>0</v>
      </c>
      <c r="C28" s="46">
        <v>0</v>
      </c>
      <c r="D28" s="46">
        <v>0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/>
      <c r="O28" s="46"/>
      <c r="P28" s="59"/>
      <c r="Q28" s="60"/>
      <c r="R28" s="46"/>
      <c r="S28" s="46"/>
      <c r="T28" s="48">
        <f t="shared" si="0"/>
        <v>0</v>
      </c>
      <c r="U28" s="48">
        <f t="shared" si="1"/>
        <v>0</v>
      </c>
      <c r="V28" s="46">
        <f t="shared" si="2"/>
        <v>314</v>
      </c>
      <c r="W28" s="42"/>
      <c r="X28" s="47"/>
      <c r="Y28" s="47"/>
      <c r="Z28" s="47"/>
    </row>
    <row r="29" spans="1:26" x14ac:dyDescent="0.25">
      <c r="A29" s="45">
        <v>45560</v>
      </c>
      <c r="B29" s="46">
        <v>0</v>
      </c>
      <c r="C29" s="46">
        <v>0</v>
      </c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/>
      <c r="O29" s="46"/>
      <c r="P29" s="59"/>
      <c r="Q29" s="60"/>
      <c r="R29" s="46"/>
      <c r="S29" s="46"/>
      <c r="T29" s="48">
        <f t="shared" si="0"/>
        <v>0</v>
      </c>
      <c r="U29" s="48">
        <f t="shared" si="1"/>
        <v>0</v>
      </c>
      <c r="V29" s="46">
        <f t="shared" si="2"/>
        <v>314</v>
      </c>
      <c r="W29" s="42"/>
      <c r="X29" s="47"/>
      <c r="Y29" s="47"/>
      <c r="Z29" s="47"/>
    </row>
    <row r="30" spans="1:26" x14ac:dyDescent="0.25">
      <c r="A30" s="45">
        <v>45561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/>
      <c r="O30" s="46"/>
      <c r="P30" s="59"/>
      <c r="Q30" s="60"/>
      <c r="R30" s="46"/>
      <c r="S30" s="46"/>
      <c r="T30" s="48">
        <f t="shared" si="0"/>
        <v>0</v>
      </c>
      <c r="U30" s="48">
        <f t="shared" si="1"/>
        <v>0</v>
      </c>
      <c r="V30" s="46">
        <f t="shared" si="2"/>
        <v>314</v>
      </c>
      <c r="W30" s="42"/>
      <c r="X30" s="47"/>
      <c r="Y30" s="47"/>
      <c r="Z30" s="47"/>
    </row>
    <row r="31" spans="1:26" x14ac:dyDescent="0.25">
      <c r="A31" s="45">
        <v>45562</v>
      </c>
      <c r="B31" s="46">
        <v>0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/>
      <c r="O31" s="46"/>
      <c r="P31" s="59"/>
      <c r="Q31" s="60"/>
      <c r="R31" s="46"/>
      <c r="S31" s="46"/>
      <c r="T31" s="48">
        <f t="shared" si="0"/>
        <v>0</v>
      </c>
      <c r="U31" s="48">
        <f t="shared" si="1"/>
        <v>0</v>
      </c>
      <c r="V31" s="46">
        <f t="shared" si="2"/>
        <v>314</v>
      </c>
      <c r="W31" s="42"/>
      <c r="X31" s="47"/>
      <c r="Y31" s="47"/>
      <c r="Z31" s="47"/>
    </row>
    <row r="32" spans="1:26" x14ac:dyDescent="0.25">
      <c r="A32" s="45">
        <v>45563</v>
      </c>
      <c r="B32" s="46">
        <v>0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/>
      <c r="O32" s="46"/>
      <c r="P32" s="59"/>
      <c r="Q32" s="60"/>
      <c r="R32" s="46"/>
      <c r="S32" s="46"/>
      <c r="T32" s="48">
        <f t="shared" si="0"/>
        <v>0</v>
      </c>
      <c r="U32" s="48">
        <f t="shared" si="1"/>
        <v>0</v>
      </c>
      <c r="V32" s="46">
        <f t="shared" si="2"/>
        <v>314</v>
      </c>
      <c r="W32" s="42"/>
      <c r="X32" s="47"/>
      <c r="Y32" s="47"/>
      <c r="Z32" s="47"/>
    </row>
    <row r="33" spans="1:26" x14ac:dyDescent="0.25">
      <c r="A33" s="45">
        <v>45564</v>
      </c>
      <c r="B33" s="46">
        <v>0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/>
      <c r="O33" s="46"/>
      <c r="P33" s="59"/>
      <c r="Q33" s="60"/>
      <c r="R33" s="46"/>
      <c r="S33" s="46"/>
      <c r="T33" s="48">
        <f t="shared" si="0"/>
        <v>0</v>
      </c>
      <c r="U33" s="48">
        <f t="shared" si="1"/>
        <v>0</v>
      </c>
      <c r="V33" s="46">
        <f t="shared" si="2"/>
        <v>314</v>
      </c>
      <c r="W33" s="42"/>
      <c r="X33" s="47"/>
      <c r="Y33" s="47"/>
      <c r="Z33" s="47"/>
    </row>
    <row r="34" spans="1:26" x14ac:dyDescent="0.25">
      <c r="A34" s="45">
        <v>45565</v>
      </c>
      <c r="B34" s="46">
        <v>0</v>
      </c>
      <c r="C34" s="46">
        <v>0</v>
      </c>
      <c r="D34" s="46">
        <v>0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/>
      <c r="O34" s="46"/>
      <c r="P34" s="59"/>
      <c r="Q34" s="60"/>
      <c r="R34" s="46"/>
      <c r="S34" s="46"/>
      <c r="T34" s="48">
        <f t="shared" si="0"/>
        <v>0</v>
      </c>
      <c r="U34" s="48">
        <f t="shared" si="1"/>
        <v>0</v>
      </c>
      <c r="V34" s="46">
        <f t="shared" si="2"/>
        <v>314</v>
      </c>
      <c r="W34" s="44"/>
      <c r="X34" s="47"/>
      <c r="Y34" s="47"/>
      <c r="Z34" s="47"/>
    </row>
    <row r="35" spans="1:26" ht="18.75" x14ac:dyDescent="0.25">
      <c r="A35" s="45"/>
      <c r="B35" s="46">
        <v>0</v>
      </c>
      <c r="C35" s="46">
        <v>0</v>
      </c>
      <c r="D35" s="46">
        <v>0</v>
      </c>
      <c r="E35" s="54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/>
      <c r="O35" s="46"/>
      <c r="P35" s="59"/>
      <c r="Q35" s="60"/>
      <c r="R35" s="46"/>
      <c r="S35" s="46"/>
      <c r="T35" s="48">
        <f t="shared" si="0"/>
        <v>0</v>
      </c>
      <c r="U35" s="48">
        <f t="shared" si="1"/>
        <v>0</v>
      </c>
      <c r="V35" s="46">
        <f t="shared" si="2"/>
        <v>314</v>
      </c>
      <c r="W35" s="52">
        <f>+V35</f>
        <v>314</v>
      </c>
      <c r="X35" s="47"/>
      <c r="Y35" s="47"/>
      <c r="Z35" s="47"/>
    </row>
    <row r="36" spans="1:26" ht="15.75" x14ac:dyDescent="0.25">
      <c r="B36" s="50">
        <f>SUM(B5:B34)</f>
        <v>15</v>
      </c>
      <c r="C36" s="51">
        <f t="shared" ref="C36:S36" si="3">SUM(C5:C34)</f>
        <v>15</v>
      </c>
      <c r="D36" s="51">
        <f t="shared" si="3"/>
        <v>18</v>
      </c>
      <c r="E36" s="51">
        <f>SUM(E5:E35)</f>
        <v>18</v>
      </c>
      <c r="F36" s="51">
        <f t="shared" si="3"/>
        <v>10</v>
      </c>
      <c r="G36" s="51">
        <f t="shared" si="3"/>
        <v>10</v>
      </c>
      <c r="H36" s="51">
        <f t="shared" si="3"/>
        <v>45</v>
      </c>
      <c r="I36" s="51">
        <f t="shared" si="3"/>
        <v>60</v>
      </c>
      <c r="J36" s="51">
        <f>SUM(J5:J35)</f>
        <v>0</v>
      </c>
      <c r="K36" s="51">
        <f t="shared" si="3"/>
        <v>50</v>
      </c>
      <c r="L36" s="51">
        <f t="shared" si="3"/>
        <v>30</v>
      </c>
      <c r="M36" s="51">
        <f t="shared" si="3"/>
        <v>36</v>
      </c>
      <c r="N36" s="51">
        <f t="shared" si="3"/>
        <v>21.5</v>
      </c>
      <c r="O36" s="51">
        <f t="shared" si="3"/>
        <v>21.5</v>
      </c>
      <c r="P36" s="61">
        <v>44</v>
      </c>
      <c r="Q36" s="60"/>
      <c r="R36" s="51">
        <f t="shared" si="3"/>
        <v>0</v>
      </c>
      <c r="S36" s="51">
        <f t="shared" si="3"/>
        <v>0</v>
      </c>
      <c r="T36" s="48">
        <f>+B36+D36+F36+H36+L36+R36</f>
        <v>118</v>
      </c>
      <c r="U36" s="51">
        <f>SUM(U5:U34)</f>
        <v>174.5</v>
      </c>
      <c r="V36" s="53"/>
      <c r="W36" s="53" t="s">
        <v>55</v>
      </c>
      <c r="Y36" s="47"/>
      <c r="Z36" s="47"/>
    </row>
  </sheetData>
  <mergeCells count="45">
    <mergeCell ref="P7:Q7"/>
    <mergeCell ref="A1:Z1"/>
    <mergeCell ref="A2:A4"/>
    <mergeCell ref="B2:S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P4:Q4"/>
    <mergeCell ref="P5:Q5"/>
    <mergeCell ref="P6:Q6"/>
    <mergeCell ref="P19:Q19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31:Q31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2:Q32"/>
    <mergeCell ref="P33:Q33"/>
    <mergeCell ref="P34:Q34"/>
    <mergeCell ref="P35:Q35"/>
    <mergeCell ref="P36:Q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752B-A3B0-4433-AD92-9CE0D750F982}">
  <dimension ref="A1:Z36"/>
  <sheetViews>
    <sheetView workbookViewId="0">
      <selection activeCell="Y38" sqref="Y38"/>
    </sheetView>
  </sheetViews>
  <sheetFormatPr defaultRowHeight="15" x14ac:dyDescent="0.25"/>
  <sheetData>
    <row r="1" spans="1:26" ht="18.75" x14ac:dyDescent="0.25">
      <c r="A1" s="62" t="s">
        <v>129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4"/>
    </row>
    <row r="2" spans="1:26" ht="24.75" x14ac:dyDescent="0.25">
      <c r="A2" s="65" t="s">
        <v>5</v>
      </c>
      <c r="B2" s="68" t="s">
        <v>115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1:26" x14ac:dyDescent="0.25">
      <c r="A3" s="66"/>
      <c r="B3" s="59" t="s">
        <v>124</v>
      </c>
      <c r="C3" s="60"/>
      <c r="D3" s="59" t="s">
        <v>116</v>
      </c>
      <c r="E3" s="60"/>
      <c r="F3" s="59" t="s">
        <v>117</v>
      </c>
      <c r="G3" s="60"/>
      <c r="H3" s="59" t="s">
        <v>118</v>
      </c>
      <c r="I3" s="60"/>
      <c r="J3" s="59" t="s">
        <v>125</v>
      </c>
      <c r="K3" s="60"/>
      <c r="L3" s="59" t="s">
        <v>126</v>
      </c>
      <c r="M3" s="60"/>
      <c r="N3" s="59" t="s">
        <v>127</v>
      </c>
      <c r="O3" s="60"/>
      <c r="P3" s="59" t="s">
        <v>128</v>
      </c>
      <c r="Q3" s="60"/>
      <c r="R3" s="59" t="s">
        <v>119</v>
      </c>
      <c r="S3" s="60"/>
      <c r="T3" s="43" t="s">
        <v>120</v>
      </c>
      <c r="U3" s="43" t="s">
        <v>121</v>
      </c>
      <c r="V3" s="43" t="s">
        <v>122</v>
      </c>
      <c r="W3" s="41"/>
    </row>
    <row r="4" spans="1:26" x14ac:dyDescent="0.25">
      <c r="A4" s="67"/>
      <c r="B4" s="43" t="s">
        <v>79</v>
      </c>
      <c r="C4" s="43" t="s">
        <v>123</v>
      </c>
      <c r="D4" s="43" t="s">
        <v>79</v>
      </c>
      <c r="E4" s="43" t="s">
        <v>123</v>
      </c>
      <c r="F4" s="43" t="s">
        <v>79</v>
      </c>
      <c r="G4" s="43" t="s">
        <v>123</v>
      </c>
      <c r="H4" s="43" t="s">
        <v>79</v>
      </c>
      <c r="I4" s="43" t="s">
        <v>123</v>
      </c>
      <c r="J4" s="43" t="s">
        <v>79</v>
      </c>
      <c r="K4" s="43" t="s">
        <v>123</v>
      </c>
      <c r="L4" s="43" t="s">
        <v>10</v>
      </c>
      <c r="M4" s="43" t="s">
        <v>112</v>
      </c>
      <c r="N4" s="43" t="s">
        <v>79</v>
      </c>
      <c r="O4" s="43" t="s">
        <v>123</v>
      </c>
      <c r="P4" s="59" t="s">
        <v>79</v>
      </c>
      <c r="Q4" s="60"/>
      <c r="R4" s="43" t="s">
        <v>79</v>
      </c>
      <c r="S4" s="43" t="s">
        <v>123</v>
      </c>
      <c r="T4" s="43" t="s">
        <v>79</v>
      </c>
      <c r="U4" s="43" t="s">
        <v>123</v>
      </c>
      <c r="V4" s="43" t="s">
        <v>79</v>
      </c>
      <c r="W4" s="42"/>
    </row>
    <row r="5" spans="1:26" x14ac:dyDescent="0.25">
      <c r="A5" s="45">
        <v>45536</v>
      </c>
      <c r="B5" s="46">
        <v>5</v>
      </c>
      <c r="C5" s="46">
        <v>5</v>
      </c>
      <c r="D5" s="46"/>
      <c r="E5" s="46"/>
      <c r="F5" s="46"/>
      <c r="G5" s="46"/>
      <c r="H5" s="46">
        <v>45</v>
      </c>
      <c r="I5" s="46">
        <v>60</v>
      </c>
      <c r="J5" s="47"/>
      <c r="K5" s="46"/>
      <c r="L5" s="46">
        <v>10</v>
      </c>
      <c r="M5" s="46"/>
      <c r="N5" s="46">
        <v>21.5</v>
      </c>
      <c r="O5" s="46">
        <v>21.5</v>
      </c>
      <c r="P5" s="59">
        <v>43</v>
      </c>
      <c r="Q5" s="60"/>
      <c r="R5" s="46"/>
      <c r="S5" s="46"/>
      <c r="T5" s="48">
        <f>+B5+D5+F5+H5+L5 +N5+J5+R5</f>
        <v>81.5</v>
      </c>
      <c r="U5" s="48">
        <f>+C5+E5+G5+I5+K5+X5+Y10+S5+O5</f>
        <v>86.5</v>
      </c>
      <c r="V5" s="48">
        <f>T5+U5</f>
        <v>168</v>
      </c>
      <c r="W5" s="42"/>
      <c r="Z5" s="47"/>
    </row>
    <row r="6" spans="1:26" x14ac:dyDescent="0.25">
      <c r="A6" s="45">
        <v>45537</v>
      </c>
      <c r="B6" s="46">
        <v>10</v>
      </c>
      <c r="C6" s="46">
        <v>10</v>
      </c>
      <c r="D6" s="46">
        <v>18</v>
      </c>
      <c r="E6" s="46">
        <v>18</v>
      </c>
      <c r="F6" s="46">
        <v>10</v>
      </c>
      <c r="G6" s="46">
        <v>10</v>
      </c>
      <c r="I6" s="46"/>
      <c r="J6" s="46"/>
      <c r="K6" s="46">
        <v>50</v>
      </c>
      <c r="L6" s="46">
        <v>20</v>
      </c>
      <c r="M6" s="46">
        <v>36</v>
      </c>
      <c r="N6" s="46"/>
      <c r="O6" s="46"/>
      <c r="P6" s="59"/>
      <c r="Q6" s="60"/>
      <c r="R6" s="46"/>
      <c r="S6" s="46"/>
      <c r="T6" s="48">
        <f t="shared" ref="T6:T35" si="0">+B6+D6+F6+H6+L6 +N6+J6+R6</f>
        <v>58</v>
      </c>
      <c r="U6" s="48">
        <f>+C6+E6+G6+I6+K6+X6+Y11+S6+O6</f>
        <v>88</v>
      </c>
      <c r="V6" s="46">
        <f>+V5+T6+U6</f>
        <v>314</v>
      </c>
      <c r="W6" s="49"/>
      <c r="X6" s="47"/>
      <c r="Y6" s="47"/>
      <c r="Z6" s="47"/>
    </row>
    <row r="7" spans="1:26" x14ac:dyDescent="0.25">
      <c r="A7" s="45">
        <v>45538</v>
      </c>
      <c r="B7" s="46">
        <v>0</v>
      </c>
      <c r="C7" s="46">
        <v>0</v>
      </c>
      <c r="D7" s="46">
        <v>0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59">
        <v>0</v>
      </c>
      <c r="Q7" s="60"/>
      <c r="R7" s="46">
        <v>0</v>
      </c>
      <c r="S7" s="46">
        <v>0</v>
      </c>
      <c r="T7" s="48">
        <f t="shared" si="0"/>
        <v>0</v>
      </c>
      <c r="U7" s="48">
        <f t="shared" ref="U7:U35" si="1">+C7+E7+G7+I7+K7+X7+Y12+S7+O7</f>
        <v>0</v>
      </c>
      <c r="V7" s="46">
        <f t="shared" ref="V7:V35" si="2">+V6+T7+U7</f>
        <v>314</v>
      </c>
      <c r="W7" s="42"/>
      <c r="X7" s="47"/>
      <c r="Y7" s="47"/>
      <c r="Z7" s="47"/>
    </row>
    <row r="8" spans="1:26" x14ac:dyDescent="0.25">
      <c r="A8" s="45">
        <v>45539</v>
      </c>
      <c r="B8" s="46">
        <v>0</v>
      </c>
      <c r="C8" s="46"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/>
      <c r="O8" s="46"/>
      <c r="P8" s="59"/>
      <c r="Q8" s="60"/>
      <c r="R8" s="46"/>
      <c r="S8" s="46"/>
      <c r="T8" s="48">
        <f t="shared" si="0"/>
        <v>0</v>
      </c>
      <c r="U8" s="48">
        <f t="shared" si="1"/>
        <v>0</v>
      </c>
      <c r="V8" s="46">
        <f t="shared" si="2"/>
        <v>314</v>
      </c>
      <c r="W8" s="42"/>
      <c r="X8" s="47"/>
      <c r="Y8" s="47"/>
      <c r="Z8" s="47"/>
    </row>
    <row r="9" spans="1:26" x14ac:dyDescent="0.25">
      <c r="A9" s="45">
        <v>45540</v>
      </c>
      <c r="B9" s="46">
        <v>0</v>
      </c>
      <c r="C9" s="46"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/>
      <c r="O9" s="46"/>
      <c r="P9" s="59"/>
      <c r="Q9" s="60"/>
      <c r="R9" s="46"/>
      <c r="S9" s="46"/>
      <c r="T9" s="48">
        <f t="shared" si="0"/>
        <v>0</v>
      </c>
      <c r="U9" s="48">
        <f t="shared" si="1"/>
        <v>0</v>
      </c>
      <c r="V9" s="46">
        <f t="shared" si="2"/>
        <v>314</v>
      </c>
      <c r="W9" s="42"/>
      <c r="X9" s="47"/>
      <c r="Y9" s="47"/>
      <c r="Z9" s="47"/>
    </row>
    <row r="10" spans="1:26" x14ac:dyDescent="0.25">
      <c r="A10" s="45">
        <v>45541</v>
      </c>
      <c r="B10" s="46">
        <v>0</v>
      </c>
      <c r="C10" s="46"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/>
      <c r="O10" s="46"/>
      <c r="P10" s="59"/>
      <c r="Q10" s="60"/>
      <c r="R10" s="46"/>
      <c r="S10" s="46"/>
      <c r="T10" s="48">
        <f t="shared" si="0"/>
        <v>0</v>
      </c>
      <c r="U10" s="48">
        <f t="shared" si="1"/>
        <v>0</v>
      </c>
      <c r="V10" s="46">
        <f t="shared" si="2"/>
        <v>314</v>
      </c>
      <c r="W10" s="42"/>
      <c r="X10" s="47"/>
      <c r="Y10" s="47"/>
      <c r="Z10" s="47"/>
    </row>
    <row r="11" spans="1:26" x14ac:dyDescent="0.25">
      <c r="A11" s="45">
        <v>45542</v>
      </c>
      <c r="B11" s="46">
        <v>0</v>
      </c>
      <c r="C11" s="46">
        <v>0</v>
      </c>
      <c r="D11" s="46">
        <v>0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/>
      <c r="O11" s="46"/>
      <c r="P11" s="59"/>
      <c r="Q11" s="60"/>
      <c r="R11" s="46"/>
      <c r="S11" s="46"/>
      <c r="T11" s="48">
        <f t="shared" si="0"/>
        <v>0</v>
      </c>
      <c r="U11" s="48">
        <f t="shared" si="1"/>
        <v>0</v>
      </c>
      <c r="V11" s="46">
        <f t="shared" si="2"/>
        <v>314</v>
      </c>
      <c r="W11" s="42"/>
      <c r="X11" s="47"/>
      <c r="Y11" s="47"/>
      <c r="Z11" s="47"/>
    </row>
    <row r="12" spans="1:26" x14ac:dyDescent="0.25">
      <c r="A12" s="45">
        <v>45543</v>
      </c>
      <c r="B12" s="46">
        <v>0</v>
      </c>
      <c r="C12" s="46">
        <v>0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/>
      <c r="O12" s="46"/>
      <c r="P12" s="59"/>
      <c r="Q12" s="60"/>
      <c r="R12" s="46"/>
      <c r="S12" s="46"/>
      <c r="T12" s="48">
        <f t="shared" si="0"/>
        <v>0</v>
      </c>
      <c r="U12" s="48">
        <f t="shared" si="1"/>
        <v>0</v>
      </c>
      <c r="V12" s="46">
        <f t="shared" si="2"/>
        <v>314</v>
      </c>
      <c r="W12" s="42"/>
      <c r="X12" s="47"/>
      <c r="Y12" s="47"/>
      <c r="Z12" s="47"/>
    </row>
    <row r="13" spans="1:26" x14ac:dyDescent="0.25">
      <c r="A13" s="45">
        <v>45544</v>
      </c>
      <c r="B13" s="46">
        <v>0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/>
      <c r="O13" s="46"/>
      <c r="P13" s="59"/>
      <c r="Q13" s="60"/>
      <c r="R13" s="46"/>
      <c r="S13" s="46"/>
      <c r="T13" s="48">
        <f t="shared" si="0"/>
        <v>0</v>
      </c>
      <c r="U13" s="48">
        <f t="shared" si="1"/>
        <v>0</v>
      </c>
      <c r="V13" s="46">
        <f t="shared" si="2"/>
        <v>314</v>
      </c>
      <c r="W13" s="42"/>
      <c r="X13" s="47"/>
      <c r="Y13" s="47"/>
      <c r="Z13" s="47"/>
    </row>
    <row r="14" spans="1:26" x14ac:dyDescent="0.25">
      <c r="A14" s="45">
        <v>45545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/>
      <c r="O14" s="46"/>
      <c r="P14" s="59"/>
      <c r="Q14" s="60"/>
      <c r="R14" s="46"/>
      <c r="S14" s="46"/>
      <c r="T14" s="48">
        <f t="shared" si="0"/>
        <v>0</v>
      </c>
      <c r="U14" s="48">
        <f t="shared" si="1"/>
        <v>0</v>
      </c>
      <c r="V14" s="46">
        <f t="shared" si="2"/>
        <v>314</v>
      </c>
      <c r="W14" s="42"/>
      <c r="X14" s="47"/>
      <c r="Y14" s="47"/>
      <c r="Z14" s="47"/>
    </row>
    <row r="15" spans="1:26" x14ac:dyDescent="0.25">
      <c r="A15" s="45">
        <v>45546</v>
      </c>
      <c r="B15" s="46">
        <v>0</v>
      </c>
      <c r="C15" s="46">
        <v>0</v>
      </c>
      <c r="D15" s="46">
        <v>0</v>
      </c>
      <c r="E15" s="46">
        <v>0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/>
      <c r="O15" s="46"/>
      <c r="P15" s="59"/>
      <c r="Q15" s="60"/>
      <c r="R15" s="46"/>
      <c r="S15" s="46"/>
      <c r="T15" s="48">
        <f t="shared" si="0"/>
        <v>0</v>
      </c>
      <c r="U15" s="48">
        <f t="shared" si="1"/>
        <v>0</v>
      </c>
      <c r="V15" s="46">
        <f t="shared" si="2"/>
        <v>314</v>
      </c>
      <c r="W15" s="42"/>
      <c r="X15" s="47"/>
      <c r="Y15" s="47"/>
      <c r="Z15" s="47"/>
    </row>
    <row r="16" spans="1:26" x14ac:dyDescent="0.25">
      <c r="A16" s="45">
        <v>45547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/>
      <c r="O16" s="46"/>
      <c r="P16" s="59"/>
      <c r="Q16" s="60"/>
      <c r="R16" s="46"/>
      <c r="S16" s="46"/>
      <c r="T16" s="48">
        <f t="shared" si="0"/>
        <v>0</v>
      </c>
      <c r="U16" s="48">
        <f t="shared" si="1"/>
        <v>0</v>
      </c>
      <c r="V16" s="46">
        <f t="shared" si="2"/>
        <v>314</v>
      </c>
      <c r="W16" s="42"/>
      <c r="X16" s="47"/>
      <c r="Y16" s="47"/>
      <c r="Z16" s="47"/>
    </row>
    <row r="17" spans="1:26" x14ac:dyDescent="0.25">
      <c r="A17" s="45">
        <v>45548</v>
      </c>
      <c r="B17" s="46">
        <v>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/>
      <c r="O17" s="46"/>
      <c r="P17" s="59"/>
      <c r="Q17" s="60"/>
      <c r="R17" s="46"/>
      <c r="S17" s="46"/>
      <c r="T17" s="48">
        <f t="shared" si="0"/>
        <v>0</v>
      </c>
      <c r="U17" s="48">
        <f t="shared" si="1"/>
        <v>0</v>
      </c>
      <c r="V17" s="46">
        <f t="shared" si="2"/>
        <v>314</v>
      </c>
      <c r="W17" s="42"/>
      <c r="X17" s="47"/>
      <c r="Y17" s="47"/>
      <c r="Z17" s="47"/>
    </row>
    <row r="18" spans="1:26" x14ac:dyDescent="0.25">
      <c r="A18" s="45">
        <v>45549</v>
      </c>
      <c r="B18" s="46">
        <v>0</v>
      </c>
      <c r="C18" s="46">
        <v>0</v>
      </c>
      <c r="D18" s="46">
        <v>0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/>
      <c r="O18" s="46"/>
      <c r="P18" s="59"/>
      <c r="Q18" s="60"/>
      <c r="R18" s="46"/>
      <c r="S18" s="46"/>
      <c r="T18" s="48">
        <f t="shared" si="0"/>
        <v>0</v>
      </c>
      <c r="U18" s="48">
        <f t="shared" si="1"/>
        <v>0</v>
      </c>
      <c r="V18" s="46">
        <f t="shared" si="2"/>
        <v>314</v>
      </c>
      <c r="W18" s="42"/>
      <c r="X18" s="47"/>
      <c r="Y18" s="47"/>
      <c r="Z18" s="47"/>
    </row>
    <row r="19" spans="1:26" x14ac:dyDescent="0.25">
      <c r="A19" s="45">
        <v>45550</v>
      </c>
      <c r="B19" s="46">
        <v>0</v>
      </c>
      <c r="C19" s="46">
        <v>0</v>
      </c>
      <c r="D19" s="46">
        <v>0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/>
      <c r="O19" s="46"/>
      <c r="P19" s="59"/>
      <c r="Q19" s="60"/>
      <c r="R19" s="46"/>
      <c r="S19" s="46"/>
      <c r="T19" s="48">
        <f t="shared" si="0"/>
        <v>0</v>
      </c>
      <c r="U19" s="48">
        <f t="shared" si="1"/>
        <v>0</v>
      </c>
      <c r="V19" s="46">
        <f t="shared" si="2"/>
        <v>314</v>
      </c>
      <c r="W19" s="42"/>
      <c r="X19" s="47"/>
      <c r="Y19" s="47"/>
      <c r="Z19" s="47"/>
    </row>
    <row r="20" spans="1:26" x14ac:dyDescent="0.25">
      <c r="A20" s="45">
        <v>45551</v>
      </c>
      <c r="B20" s="46">
        <v>0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/>
      <c r="O20" s="46"/>
      <c r="P20" s="59"/>
      <c r="Q20" s="60"/>
      <c r="R20" s="46"/>
      <c r="S20" s="46"/>
      <c r="T20" s="48">
        <f t="shared" si="0"/>
        <v>0</v>
      </c>
      <c r="U20" s="48">
        <f t="shared" si="1"/>
        <v>0</v>
      </c>
      <c r="V20" s="46">
        <f t="shared" si="2"/>
        <v>314</v>
      </c>
      <c r="W20" s="42"/>
      <c r="X20" s="47"/>
      <c r="Y20" s="47"/>
      <c r="Z20" s="47"/>
    </row>
    <row r="21" spans="1:26" x14ac:dyDescent="0.25">
      <c r="A21" s="45">
        <v>45552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/>
      <c r="O21" s="46"/>
      <c r="P21" s="59"/>
      <c r="Q21" s="60"/>
      <c r="R21" s="46"/>
      <c r="S21" s="46"/>
      <c r="T21" s="48">
        <f t="shared" si="0"/>
        <v>0</v>
      </c>
      <c r="U21" s="48">
        <f t="shared" si="1"/>
        <v>0</v>
      </c>
      <c r="V21" s="46">
        <f t="shared" si="2"/>
        <v>314</v>
      </c>
      <c r="W21" s="42"/>
      <c r="X21" s="47"/>
      <c r="Y21" s="47"/>
      <c r="Z21" s="47"/>
    </row>
    <row r="22" spans="1:26" x14ac:dyDescent="0.25">
      <c r="A22" s="45">
        <v>45553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/>
      <c r="O22" s="46"/>
      <c r="P22" s="59"/>
      <c r="Q22" s="60"/>
      <c r="R22" s="46"/>
      <c r="S22" s="46"/>
      <c r="T22" s="48">
        <f t="shared" si="0"/>
        <v>0</v>
      </c>
      <c r="U22" s="48">
        <f t="shared" si="1"/>
        <v>0</v>
      </c>
      <c r="V22" s="46">
        <f t="shared" si="2"/>
        <v>314</v>
      </c>
      <c r="W22" s="42"/>
      <c r="X22" s="47"/>
      <c r="Y22" s="47"/>
      <c r="Z22" s="47"/>
    </row>
    <row r="23" spans="1:26" x14ac:dyDescent="0.25">
      <c r="A23" s="45">
        <v>45554</v>
      </c>
      <c r="B23" s="46">
        <v>0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/>
      <c r="O23" s="46"/>
      <c r="P23" s="59"/>
      <c r="Q23" s="60"/>
      <c r="R23" s="46"/>
      <c r="S23" s="46"/>
      <c r="T23" s="48">
        <f t="shared" si="0"/>
        <v>0</v>
      </c>
      <c r="U23" s="48">
        <f t="shared" si="1"/>
        <v>0</v>
      </c>
      <c r="V23" s="46">
        <f t="shared" si="2"/>
        <v>314</v>
      </c>
      <c r="W23" s="42"/>
      <c r="X23" s="47"/>
      <c r="Y23" s="47"/>
      <c r="Z23" s="47"/>
    </row>
    <row r="24" spans="1:26" x14ac:dyDescent="0.25">
      <c r="A24" s="45">
        <v>45555</v>
      </c>
      <c r="B24" s="46">
        <v>0</v>
      </c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/>
      <c r="O24" s="46"/>
      <c r="P24" s="59"/>
      <c r="Q24" s="60"/>
      <c r="R24" s="46"/>
      <c r="S24" s="46"/>
      <c r="T24" s="48">
        <f t="shared" si="0"/>
        <v>0</v>
      </c>
      <c r="U24" s="48">
        <f t="shared" si="1"/>
        <v>0</v>
      </c>
      <c r="V24" s="46">
        <f t="shared" si="2"/>
        <v>314</v>
      </c>
      <c r="W24" s="42"/>
      <c r="X24" s="47"/>
      <c r="Y24" s="47"/>
      <c r="Z24" s="47"/>
    </row>
    <row r="25" spans="1:26" x14ac:dyDescent="0.25">
      <c r="A25" s="45">
        <v>45556</v>
      </c>
      <c r="B25" s="46">
        <v>0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/>
      <c r="O25" s="46"/>
      <c r="P25" s="59"/>
      <c r="Q25" s="60"/>
      <c r="R25" s="46"/>
      <c r="S25" s="46"/>
      <c r="T25" s="48">
        <f t="shared" si="0"/>
        <v>0</v>
      </c>
      <c r="U25" s="48">
        <f t="shared" si="1"/>
        <v>0</v>
      </c>
      <c r="V25" s="46">
        <f t="shared" si="2"/>
        <v>314</v>
      </c>
      <c r="W25" s="42"/>
      <c r="X25" s="47"/>
      <c r="Y25" s="47"/>
      <c r="Z25" s="47"/>
    </row>
    <row r="26" spans="1:26" x14ac:dyDescent="0.25">
      <c r="A26" s="45">
        <v>45557</v>
      </c>
      <c r="B26" s="46">
        <v>0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/>
      <c r="O26" s="46"/>
      <c r="P26" s="59"/>
      <c r="Q26" s="60"/>
      <c r="R26" s="46"/>
      <c r="S26" s="46"/>
      <c r="T26" s="48">
        <f t="shared" si="0"/>
        <v>0</v>
      </c>
      <c r="U26" s="48">
        <f t="shared" si="1"/>
        <v>0</v>
      </c>
      <c r="V26" s="46">
        <f t="shared" si="2"/>
        <v>314</v>
      </c>
      <c r="W26" s="42"/>
      <c r="X26" s="47"/>
      <c r="Y26" s="47"/>
      <c r="Z26" s="47"/>
    </row>
    <row r="27" spans="1:26" x14ac:dyDescent="0.25">
      <c r="A27" s="45">
        <v>45558</v>
      </c>
      <c r="B27" s="46">
        <v>0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/>
      <c r="O27" s="46"/>
      <c r="P27" s="59"/>
      <c r="Q27" s="60"/>
      <c r="R27" s="46"/>
      <c r="S27" s="46"/>
      <c r="T27" s="48">
        <f t="shared" si="0"/>
        <v>0</v>
      </c>
      <c r="U27" s="48">
        <f t="shared" si="1"/>
        <v>0</v>
      </c>
      <c r="V27" s="46">
        <f t="shared" si="2"/>
        <v>314</v>
      </c>
      <c r="W27" s="42"/>
      <c r="X27" s="47"/>
      <c r="Y27" s="47"/>
      <c r="Z27" s="47"/>
    </row>
    <row r="28" spans="1:26" x14ac:dyDescent="0.25">
      <c r="A28" s="45">
        <v>45559</v>
      </c>
      <c r="B28" s="46">
        <v>0</v>
      </c>
      <c r="C28" s="46">
        <v>0</v>
      </c>
      <c r="D28" s="46">
        <v>0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/>
      <c r="O28" s="46"/>
      <c r="P28" s="59"/>
      <c r="Q28" s="60"/>
      <c r="R28" s="46"/>
      <c r="S28" s="46"/>
      <c r="T28" s="48">
        <f t="shared" si="0"/>
        <v>0</v>
      </c>
      <c r="U28" s="48">
        <f t="shared" si="1"/>
        <v>0</v>
      </c>
      <c r="V28" s="46">
        <f t="shared" si="2"/>
        <v>314</v>
      </c>
      <c r="W28" s="42"/>
      <c r="X28" s="47"/>
      <c r="Y28" s="47"/>
      <c r="Z28" s="47"/>
    </row>
    <row r="29" spans="1:26" x14ac:dyDescent="0.25">
      <c r="A29" s="45">
        <v>45560</v>
      </c>
      <c r="B29" s="46">
        <v>0</v>
      </c>
      <c r="C29" s="46">
        <v>0</v>
      </c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/>
      <c r="O29" s="46"/>
      <c r="P29" s="59"/>
      <c r="Q29" s="60"/>
      <c r="R29" s="46"/>
      <c r="S29" s="46"/>
      <c r="T29" s="48">
        <f t="shared" si="0"/>
        <v>0</v>
      </c>
      <c r="U29" s="48">
        <f t="shared" si="1"/>
        <v>0</v>
      </c>
      <c r="V29" s="46">
        <f t="shared" si="2"/>
        <v>314</v>
      </c>
      <c r="W29" s="42"/>
      <c r="X29" s="47"/>
      <c r="Y29" s="47"/>
      <c r="Z29" s="47"/>
    </row>
    <row r="30" spans="1:26" x14ac:dyDescent="0.25">
      <c r="A30" s="45">
        <v>45561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/>
      <c r="O30" s="46"/>
      <c r="P30" s="59"/>
      <c r="Q30" s="60"/>
      <c r="R30" s="46"/>
      <c r="S30" s="46"/>
      <c r="T30" s="48">
        <f t="shared" si="0"/>
        <v>0</v>
      </c>
      <c r="U30" s="48">
        <f t="shared" si="1"/>
        <v>0</v>
      </c>
      <c r="V30" s="46">
        <f t="shared" si="2"/>
        <v>314</v>
      </c>
      <c r="W30" s="42"/>
      <c r="X30" s="47"/>
      <c r="Y30" s="47"/>
      <c r="Z30" s="47"/>
    </row>
    <row r="31" spans="1:26" x14ac:dyDescent="0.25">
      <c r="A31" s="45">
        <v>45562</v>
      </c>
      <c r="B31" s="46">
        <v>0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/>
      <c r="O31" s="46"/>
      <c r="P31" s="59"/>
      <c r="Q31" s="60"/>
      <c r="R31" s="46"/>
      <c r="S31" s="46"/>
      <c r="T31" s="48">
        <f t="shared" si="0"/>
        <v>0</v>
      </c>
      <c r="U31" s="48">
        <f t="shared" si="1"/>
        <v>0</v>
      </c>
      <c r="V31" s="46">
        <f t="shared" si="2"/>
        <v>314</v>
      </c>
      <c r="W31" s="42"/>
      <c r="X31" s="47"/>
      <c r="Y31" s="47"/>
      <c r="Z31" s="47"/>
    </row>
    <row r="32" spans="1:26" x14ac:dyDescent="0.25">
      <c r="A32" s="45">
        <v>45563</v>
      </c>
      <c r="B32" s="46">
        <v>0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/>
      <c r="O32" s="46"/>
      <c r="P32" s="59"/>
      <c r="Q32" s="60"/>
      <c r="R32" s="46"/>
      <c r="S32" s="46"/>
      <c r="T32" s="48">
        <f t="shared" si="0"/>
        <v>0</v>
      </c>
      <c r="U32" s="48">
        <f t="shared" si="1"/>
        <v>0</v>
      </c>
      <c r="V32" s="46">
        <f t="shared" si="2"/>
        <v>314</v>
      </c>
      <c r="W32" s="42"/>
      <c r="X32" s="47"/>
      <c r="Y32" s="47"/>
      <c r="Z32" s="47"/>
    </row>
    <row r="33" spans="1:26" x14ac:dyDescent="0.25">
      <c r="A33" s="45">
        <v>45564</v>
      </c>
      <c r="B33" s="46">
        <v>0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/>
      <c r="O33" s="46"/>
      <c r="P33" s="59"/>
      <c r="Q33" s="60"/>
      <c r="R33" s="46"/>
      <c r="S33" s="46"/>
      <c r="T33" s="48">
        <f t="shared" si="0"/>
        <v>0</v>
      </c>
      <c r="U33" s="48">
        <f t="shared" si="1"/>
        <v>0</v>
      </c>
      <c r="V33" s="46">
        <f t="shared" si="2"/>
        <v>314</v>
      </c>
      <c r="W33" s="42"/>
      <c r="X33" s="47"/>
      <c r="Y33" s="47"/>
      <c r="Z33" s="47"/>
    </row>
    <row r="34" spans="1:26" x14ac:dyDescent="0.25">
      <c r="A34" s="45">
        <v>45565</v>
      </c>
      <c r="B34" s="46">
        <v>0</v>
      </c>
      <c r="C34" s="46">
        <v>0</v>
      </c>
      <c r="D34" s="46">
        <v>0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/>
      <c r="O34" s="46"/>
      <c r="P34" s="59"/>
      <c r="Q34" s="60"/>
      <c r="R34" s="46"/>
      <c r="S34" s="46"/>
      <c r="T34" s="48">
        <f t="shared" si="0"/>
        <v>0</v>
      </c>
      <c r="U34" s="48">
        <f t="shared" si="1"/>
        <v>0</v>
      </c>
      <c r="V34" s="46">
        <f t="shared" si="2"/>
        <v>314</v>
      </c>
      <c r="W34" s="44"/>
      <c r="X34" s="47"/>
      <c r="Y34" s="47"/>
      <c r="Z34" s="47"/>
    </row>
    <row r="35" spans="1:26" ht="18.75" x14ac:dyDescent="0.25">
      <c r="A35" s="45"/>
      <c r="B35" s="46">
        <v>0</v>
      </c>
      <c r="C35" s="46">
        <v>0</v>
      </c>
      <c r="D35" s="46">
        <v>0</v>
      </c>
      <c r="E35" s="54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/>
      <c r="O35" s="46"/>
      <c r="P35" s="59"/>
      <c r="Q35" s="60"/>
      <c r="R35" s="46"/>
      <c r="S35" s="46"/>
      <c r="T35" s="48">
        <f t="shared" si="0"/>
        <v>0</v>
      </c>
      <c r="U35" s="48">
        <f t="shared" si="1"/>
        <v>0</v>
      </c>
      <c r="V35" s="46">
        <f t="shared" si="2"/>
        <v>314</v>
      </c>
      <c r="W35" s="52">
        <f>+V35</f>
        <v>314</v>
      </c>
      <c r="X35" s="47"/>
      <c r="Y35" s="47"/>
      <c r="Z35" s="47"/>
    </row>
    <row r="36" spans="1:26" ht="15.75" x14ac:dyDescent="0.25">
      <c r="B36" s="50">
        <f>SUM(B5:B34)</f>
        <v>15</v>
      </c>
      <c r="C36" s="51">
        <f t="shared" ref="C36:S36" si="3">SUM(C5:C34)</f>
        <v>15</v>
      </c>
      <c r="D36" s="51">
        <f t="shared" si="3"/>
        <v>18</v>
      </c>
      <c r="E36" s="51">
        <f>SUM(E5:E35)</f>
        <v>18</v>
      </c>
      <c r="F36" s="51">
        <f t="shared" si="3"/>
        <v>10</v>
      </c>
      <c r="G36" s="51">
        <f t="shared" si="3"/>
        <v>10</v>
      </c>
      <c r="H36" s="51">
        <f t="shared" si="3"/>
        <v>45</v>
      </c>
      <c r="I36" s="51">
        <f t="shared" si="3"/>
        <v>60</v>
      </c>
      <c r="J36" s="51">
        <f>SUM(J5:J35)</f>
        <v>0</v>
      </c>
      <c r="K36" s="51">
        <f t="shared" si="3"/>
        <v>50</v>
      </c>
      <c r="L36" s="51">
        <f t="shared" si="3"/>
        <v>30</v>
      </c>
      <c r="M36" s="51">
        <f t="shared" si="3"/>
        <v>36</v>
      </c>
      <c r="N36" s="51">
        <f t="shared" si="3"/>
        <v>21.5</v>
      </c>
      <c r="O36" s="51">
        <f t="shared" si="3"/>
        <v>21.5</v>
      </c>
      <c r="P36" s="61">
        <v>44</v>
      </c>
      <c r="Q36" s="60"/>
      <c r="R36" s="51">
        <f t="shared" si="3"/>
        <v>0</v>
      </c>
      <c r="S36" s="51">
        <f t="shared" si="3"/>
        <v>0</v>
      </c>
      <c r="T36" s="48">
        <f>+B36+D36+F36+H36+L36+R36</f>
        <v>118</v>
      </c>
      <c r="U36" s="51">
        <f>SUM(U5:U34)</f>
        <v>174.5</v>
      </c>
      <c r="V36" s="53"/>
      <c r="W36" s="53" t="s">
        <v>55</v>
      </c>
      <c r="Y36" s="47"/>
      <c r="Z36" s="47"/>
    </row>
  </sheetData>
  <mergeCells count="45">
    <mergeCell ref="P7:Q7"/>
    <mergeCell ref="A1:Z1"/>
    <mergeCell ref="A2:A4"/>
    <mergeCell ref="B2:S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P4:Q4"/>
    <mergeCell ref="P5:Q5"/>
    <mergeCell ref="P6:Q6"/>
    <mergeCell ref="P19:Q19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31:Q31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2:Q32"/>
    <mergeCell ref="P33:Q33"/>
    <mergeCell ref="P34:Q34"/>
    <mergeCell ref="P35:Q35"/>
    <mergeCell ref="P36:Q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62B9-96EC-48AD-85B7-B02817BC540B}">
  <dimension ref="A1:Z4"/>
  <sheetViews>
    <sheetView workbookViewId="0">
      <selection sqref="A1:Z3"/>
    </sheetView>
  </sheetViews>
  <sheetFormatPr defaultRowHeight="15" x14ac:dyDescent="0.25"/>
  <cols>
    <col min="1" max="9" width="11" customWidth="1"/>
    <col min="10" max="26" width="12" customWidth="1"/>
  </cols>
  <sheetData>
    <row r="1" spans="1:26" x14ac:dyDescent="0.25">
      <c r="A1" s="70">
        <v>45658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x14ac:dyDescent="0.2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x14ac:dyDescent="0.25">
      <c r="A4" t="s">
        <v>5</v>
      </c>
      <c r="B4" t="s">
        <v>10</v>
      </c>
      <c r="C4" t="s">
        <v>137</v>
      </c>
      <c r="D4" t="s">
        <v>138</v>
      </c>
      <c r="E4" t="s">
        <v>139</v>
      </c>
      <c r="F4" t="s">
        <v>140</v>
      </c>
      <c r="G4" t="s">
        <v>141</v>
      </c>
      <c r="H4" t="s">
        <v>142</v>
      </c>
      <c r="I4" t="s">
        <v>143</v>
      </c>
      <c r="J4" t="s">
        <v>144</v>
      </c>
      <c r="K4" t="s">
        <v>145</v>
      </c>
      <c r="L4" t="s">
        <v>146</v>
      </c>
      <c r="M4" t="s">
        <v>147</v>
      </c>
      <c r="N4" t="s">
        <v>148</v>
      </c>
      <c r="O4" t="s">
        <v>149</v>
      </c>
      <c r="P4" t="s">
        <v>150</v>
      </c>
      <c r="Q4" t="s">
        <v>151</v>
      </c>
      <c r="R4" t="s">
        <v>152</v>
      </c>
      <c r="S4" t="s">
        <v>153</v>
      </c>
      <c r="T4" t="s">
        <v>154</v>
      </c>
    </row>
  </sheetData>
  <mergeCells count="1">
    <mergeCell ref="A1:Z3"/>
  </mergeCells>
  <phoneticPr fontId="1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thing </vt:lpstr>
      <vt:lpstr>AUG</vt:lpstr>
      <vt:lpstr>SEP</vt:lpstr>
      <vt:lpstr>OCT</vt:lpstr>
      <vt:lpstr>NOV</vt:lpstr>
      <vt:lpstr>DEC</vt:lpstr>
      <vt:lpstr>Sheet1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KARTHIKEYAN J</dc:creator>
  <dc:description/>
  <cp:lastModifiedBy>KARTHIKEYAN J</cp:lastModifiedBy>
  <cp:revision>30</cp:revision>
  <cp:lastPrinted>2024-10-23T08:21:04Z</cp:lastPrinted>
  <dcterms:created xsi:type="dcterms:W3CDTF">2015-06-05T18:17:20Z</dcterms:created>
  <dcterms:modified xsi:type="dcterms:W3CDTF">2025-01-05T16:02:07Z</dcterms:modified>
  <dc:language>en-IN</dc:language>
</cp:coreProperties>
</file>